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\Thaiha\BoDoiApp\Resources\Sheet\"/>
    </mc:Choice>
  </mc:AlternateContent>
  <xr:revisionPtr revIDLastSave="0" documentId="13_ncr:1_{342EADFD-0475-4F15-9DDC-32C8ABAF7E87}" xr6:coauthVersionLast="47" xr6:coauthVersionMax="47" xr10:uidLastSave="{00000000-0000-0000-0000-000000000000}"/>
  <bookViews>
    <workbookView xWindow="-110" yWindow="-110" windowWidth="19420" windowHeight="10300" firstSheet="2" activeTab="4" xr2:uid="{436C94DA-B63B-4AE7-8BA0-6B5AE70E1C41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DAN1" sheetId="6" r:id="rId6"/>
    <sheet name="DAN2" sheetId="7" r:id="rId7"/>
    <sheet name="DAN3" sheetId="8" r:id="rId8"/>
    <sheet name="DAN4" sheetId="9" r:id="rId9"/>
    <sheet name="DAN5" sheetId="10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" i="5" l="1"/>
  <c r="B15" i="10"/>
  <c r="E15" i="10" s="1"/>
  <c r="E16" i="10" s="1"/>
  <c r="B13" i="10"/>
  <c r="B11" i="10"/>
  <c r="B10" i="10"/>
  <c r="B9" i="10"/>
  <c r="B8" i="10"/>
  <c r="B6" i="10"/>
  <c r="B5" i="10"/>
  <c r="E5" i="10" s="1"/>
  <c r="B4" i="10"/>
  <c r="B3" i="10"/>
  <c r="E3" i="10" s="1"/>
  <c r="B2" i="10"/>
  <c r="B15" i="9"/>
  <c r="B13" i="9"/>
  <c r="B11" i="9"/>
  <c r="B10" i="9"/>
  <c r="B9" i="9"/>
  <c r="E9" i="9" s="1"/>
  <c r="B8" i="9"/>
  <c r="E8" i="9" s="1"/>
  <c r="B6" i="9"/>
  <c r="E6" i="9" s="1"/>
  <c r="B5" i="9"/>
  <c r="B4" i="9"/>
  <c r="B3" i="9"/>
  <c r="B2" i="9"/>
  <c r="E2" i="9" s="1"/>
  <c r="B15" i="8"/>
  <c r="E15" i="8" s="1"/>
  <c r="E16" i="8" s="1"/>
  <c r="B13" i="8"/>
  <c r="B11" i="8"/>
  <c r="E11" i="8" s="1"/>
  <c r="B10" i="8"/>
  <c r="E10" i="8" s="1"/>
  <c r="B9" i="8"/>
  <c r="E9" i="8" s="1"/>
  <c r="B8" i="8"/>
  <c r="E8" i="8" s="1"/>
  <c r="B6" i="8"/>
  <c r="B5" i="8"/>
  <c r="B3" i="8"/>
  <c r="E3" i="8" s="1"/>
  <c r="B4" i="8"/>
  <c r="B2" i="8"/>
  <c r="B15" i="7"/>
  <c r="E15" i="7" s="1"/>
  <c r="E16" i="7" s="1"/>
  <c r="B13" i="7"/>
  <c r="E13" i="7" s="1"/>
  <c r="E14" i="7" s="1"/>
  <c r="B11" i="7"/>
  <c r="B10" i="7"/>
  <c r="E10" i="7" s="1"/>
  <c r="B9" i="7"/>
  <c r="E9" i="7" s="1"/>
  <c r="B8" i="7"/>
  <c r="B6" i="7"/>
  <c r="E6" i="7" s="1"/>
  <c r="B5" i="7"/>
  <c r="E5" i="7" s="1"/>
  <c r="B4" i="7"/>
  <c r="E4" i="7" s="1"/>
  <c r="B6" i="6"/>
  <c r="E6" i="6" s="1"/>
  <c r="B5" i="6"/>
  <c r="B3" i="7"/>
  <c r="B2" i="7"/>
  <c r="E3" i="7"/>
  <c r="E2" i="7"/>
  <c r="E13" i="10"/>
  <c r="E14" i="10" s="1"/>
  <c r="E11" i="10"/>
  <c r="E10" i="10"/>
  <c r="E9" i="10"/>
  <c r="E8" i="10"/>
  <c r="E12" i="10" s="1"/>
  <c r="E6" i="10"/>
  <c r="E4" i="10"/>
  <c r="E2" i="10"/>
  <c r="E7" i="10" s="1"/>
  <c r="E15" i="9"/>
  <c r="E16" i="9" s="1"/>
  <c r="E13" i="9"/>
  <c r="E14" i="9" s="1"/>
  <c r="E11" i="9"/>
  <c r="E10" i="9"/>
  <c r="E5" i="9"/>
  <c r="E4" i="9"/>
  <c r="E3" i="9"/>
  <c r="E13" i="8"/>
  <c r="E14" i="8" s="1"/>
  <c r="E6" i="8"/>
  <c r="E5" i="8"/>
  <c r="E4" i="8"/>
  <c r="E2" i="8"/>
  <c r="E11" i="7"/>
  <c r="E8" i="7"/>
  <c r="B15" i="6"/>
  <c r="E15" i="6" s="1"/>
  <c r="E16" i="6" s="1"/>
  <c r="B13" i="6"/>
  <c r="B11" i="6"/>
  <c r="E11" i="6" s="1"/>
  <c r="B10" i="6"/>
  <c r="B9" i="6"/>
  <c r="E9" i="6" s="1"/>
  <c r="B8" i="6"/>
  <c r="G19" i="1"/>
  <c r="E5" i="6"/>
  <c r="B4" i="6"/>
  <c r="E4" i="6" s="1"/>
  <c r="B3" i="6"/>
  <c r="E3" i="6"/>
  <c r="B2" i="6"/>
  <c r="E2" i="6"/>
  <c r="E13" i="6"/>
  <c r="E14" i="6" s="1"/>
  <c r="E10" i="6"/>
  <c r="E8" i="6"/>
  <c r="B19" i="5"/>
  <c r="H19" i="5"/>
  <c r="N6" i="2"/>
  <c r="O6" i="2"/>
  <c r="L6" i="2"/>
  <c r="K19" i="5"/>
  <c r="J19" i="5"/>
  <c r="G19" i="5"/>
  <c r="F19" i="5"/>
  <c r="E19" i="5"/>
  <c r="D19" i="5"/>
  <c r="C19" i="5"/>
  <c r="O8" i="5"/>
  <c r="N8" i="5"/>
  <c r="M8" i="5"/>
  <c r="L8" i="5"/>
  <c r="K8" i="5"/>
  <c r="J8" i="5"/>
  <c r="I8" i="5"/>
  <c r="H8" i="5"/>
  <c r="G8" i="5"/>
  <c r="F8" i="5"/>
  <c r="E8" i="5"/>
  <c r="D8" i="5"/>
  <c r="C8" i="5"/>
  <c r="B8" i="5"/>
  <c r="O7" i="5"/>
  <c r="O19" i="5" s="1"/>
  <c r="N7" i="5"/>
  <c r="N19" i="5" s="1"/>
  <c r="M7" i="5"/>
  <c r="M19" i="5" s="1"/>
  <c r="L7" i="5"/>
  <c r="L19" i="5" s="1"/>
  <c r="K7" i="5"/>
  <c r="J7" i="5"/>
  <c r="I7" i="5"/>
  <c r="I6" i="5" s="1"/>
  <c r="H7" i="5"/>
  <c r="G7" i="5"/>
  <c r="G6" i="5" s="1"/>
  <c r="F7" i="5"/>
  <c r="F6" i="5" s="1"/>
  <c r="E7" i="5"/>
  <c r="D7" i="5"/>
  <c r="C7" i="5"/>
  <c r="B7" i="5"/>
  <c r="B6" i="5" s="1"/>
  <c r="K6" i="5"/>
  <c r="J6" i="5"/>
  <c r="H6" i="5"/>
  <c r="E6" i="5"/>
  <c r="D6" i="5"/>
  <c r="I10" i="4"/>
  <c r="H10" i="4"/>
  <c r="G10" i="4"/>
  <c r="F10" i="4"/>
  <c r="E10" i="4"/>
  <c r="D10" i="4"/>
  <c r="C10" i="4"/>
  <c r="B10" i="4"/>
  <c r="O8" i="4"/>
  <c r="O10" i="4" s="1"/>
  <c r="N8" i="4"/>
  <c r="N10" i="4" s="1"/>
  <c r="M8" i="4"/>
  <c r="M10" i="4" s="1"/>
  <c r="L8" i="4"/>
  <c r="K8" i="4"/>
  <c r="I8" i="4"/>
  <c r="H8" i="4"/>
  <c r="G8" i="4"/>
  <c r="F8" i="4"/>
  <c r="E8" i="4"/>
  <c r="D8" i="4"/>
  <c r="C8" i="4"/>
  <c r="B8" i="4"/>
  <c r="O6" i="4"/>
  <c r="N6" i="4"/>
  <c r="M6" i="4"/>
  <c r="L6" i="4"/>
  <c r="L10" i="4" s="1"/>
  <c r="K6" i="4"/>
  <c r="K10" i="4" s="1"/>
  <c r="J6" i="4"/>
  <c r="J10" i="4" s="1"/>
  <c r="I6" i="4"/>
  <c r="H6" i="4"/>
  <c r="G6" i="4"/>
  <c r="F6" i="4"/>
  <c r="E6" i="4"/>
  <c r="D6" i="4"/>
  <c r="C6" i="4"/>
  <c r="B6" i="4"/>
  <c r="O11" i="3"/>
  <c r="K11" i="3"/>
  <c r="H11" i="3"/>
  <c r="G11" i="3"/>
  <c r="F11" i="3"/>
  <c r="E11" i="3"/>
  <c r="O8" i="3"/>
  <c r="N8" i="3"/>
  <c r="N11" i="3" s="1"/>
  <c r="M8" i="3"/>
  <c r="M11" i="3" s="1"/>
  <c r="L8" i="3"/>
  <c r="L11" i="3" s="1"/>
  <c r="K8" i="3"/>
  <c r="J8" i="3"/>
  <c r="J11" i="3" s="1"/>
  <c r="I8" i="3"/>
  <c r="I11" i="3" s="1"/>
  <c r="H8" i="3"/>
  <c r="G8" i="3"/>
  <c r="F8" i="3"/>
  <c r="E8" i="3"/>
  <c r="D8" i="3"/>
  <c r="D11" i="3" s="1"/>
  <c r="C8" i="3"/>
  <c r="C11" i="3" s="1"/>
  <c r="B8" i="3"/>
  <c r="B11" i="3" s="1"/>
  <c r="O6" i="3"/>
  <c r="N6" i="3"/>
  <c r="M6" i="3"/>
  <c r="L6" i="3"/>
  <c r="K6" i="3"/>
  <c r="J6" i="3"/>
  <c r="I6" i="3"/>
  <c r="O8" i="2"/>
  <c r="O17" i="2" s="1"/>
  <c r="N17" i="2"/>
  <c r="L17" i="2"/>
  <c r="J17" i="2"/>
  <c r="G17" i="2"/>
  <c r="D17" i="2"/>
  <c r="H12" i="2"/>
  <c r="H8" i="2" s="1"/>
  <c r="H17" i="2" s="1"/>
  <c r="N8" i="2"/>
  <c r="M8" i="2"/>
  <c r="M17" i="2" s="1"/>
  <c r="L8" i="2"/>
  <c r="K8" i="2"/>
  <c r="K17" i="2" s="1"/>
  <c r="J8" i="2"/>
  <c r="I8" i="2"/>
  <c r="I17" i="2" s="1"/>
  <c r="G8" i="2"/>
  <c r="F8" i="2"/>
  <c r="F17" i="2" s="1"/>
  <c r="E8" i="2"/>
  <c r="E17" i="2" s="1"/>
  <c r="D8" i="2"/>
  <c r="C8" i="2"/>
  <c r="C17" i="2" s="1"/>
  <c r="B8" i="2"/>
  <c r="B17" i="2" s="1"/>
  <c r="M6" i="2"/>
  <c r="K6" i="2"/>
  <c r="J6" i="2"/>
  <c r="I6" i="2"/>
  <c r="L19" i="1"/>
  <c r="K19" i="1"/>
  <c r="J19" i="1"/>
  <c r="I19" i="1"/>
  <c r="H19" i="1"/>
  <c r="F19" i="1"/>
  <c r="E19" i="1"/>
  <c r="D19" i="1"/>
  <c r="C19" i="1"/>
  <c r="B19" i="1"/>
  <c r="O8" i="1"/>
  <c r="O19" i="1" s="1"/>
  <c r="N8" i="1"/>
  <c r="N19" i="1" s="1"/>
  <c r="M8" i="1"/>
  <c r="M19" i="1" s="1"/>
  <c r="L8" i="1"/>
  <c r="K8" i="1"/>
  <c r="J8" i="1"/>
  <c r="I8" i="1"/>
  <c r="H8" i="1"/>
  <c r="G8" i="1"/>
  <c r="F8" i="1"/>
  <c r="E8" i="1"/>
  <c r="D8" i="1"/>
  <c r="C8" i="1"/>
  <c r="B8" i="1"/>
  <c r="E12" i="9" l="1"/>
  <c r="E7" i="9"/>
  <c r="E12" i="8"/>
  <c r="E7" i="8"/>
  <c r="E12" i="7"/>
  <c r="E7" i="7"/>
  <c r="E12" i="6"/>
  <c r="E7" i="6"/>
  <c r="M6" i="5"/>
  <c r="O6" i="5"/>
  <c r="L6" i="5"/>
  <c r="N6" i="5"/>
  <c r="I19" i="5"/>
</calcChain>
</file>

<file path=xl/sharedStrings.xml><?xml version="1.0" encoding="utf-8"?>
<sst xmlns="http://schemas.openxmlformats.org/spreadsheetml/2006/main" count="246" uniqueCount="69">
  <si>
    <t>TỔ CHỨC BIÊN CHẾ, TRANG BỊ TIỂU ĐOÀN BỘ BINH TIẾN CÔNG RỪNG NÚI</t>
  </si>
  <si>
    <t>LỰC LƯỢNG</t>
  </si>
  <si>
    <t>QUÂN SỐ</t>
  </si>
  <si>
    <t>TRANG BỊ KỸ THUẬT</t>
  </si>
  <si>
    <t>VẬT TỰ KỸ THUẬT</t>
  </si>
  <si>
    <t>Vũ khí bộ binh</t>
  </si>
  <si>
    <t>Lựu đạn</t>
  </si>
  <si>
    <t>Cối</t>
  </si>
  <si>
    <t>PCT</t>
  </si>
  <si>
    <t>Pháo PK</t>
  </si>
  <si>
    <t>ON</t>
  </si>
  <si>
    <t>ĐB</t>
  </si>
  <si>
    <t>SN</t>
  </si>
  <si>
    <t>TL</t>
  </si>
  <si>
    <t>TrL</t>
  </si>
  <si>
    <t>ĐL</t>
  </si>
  <si>
    <t>B41, M79</t>
  </si>
  <si>
    <t>SPG9</t>
  </si>
  <si>
    <t>1. Trong biên chế</t>
  </si>
  <si>
    <t>dBB</t>
  </si>
  <si>
    <t>2. LL phối thuộc</t>
  </si>
  <si>
    <t>1 cO100/e</t>
  </si>
  <si>
    <t>1 cSPG-9/e</t>
  </si>
  <si>
    <t>1 cSMPK 12,7mm/e</t>
  </si>
  <si>
    <t>1b VTB/e</t>
  </si>
  <si>
    <t>1 tổ QY/e</t>
  </si>
  <si>
    <t>1 aHH/f</t>
  </si>
  <si>
    <t>2 PĐ TS/e</t>
  </si>
  <si>
    <t>1 b CB</t>
  </si>
  <si>
    <t>1 tổ SC/e</t>
  </si>
  <si>
    <t>1a TT/e</t>
  </si>
  <si>
    <t>Tổng</t>
  </si>
  <si>
    <t>TỔ CHỨC BIÊN CHẾ, TRANG BỊ HƯỚNG CHỦ YẾU</t>
  </si>
  <si>
    <t>cBB</t>
  </si>
  <si>
    <t>2. LL tăng cường</t>
  </si>
  <si>
    <t>1 b SPG-9/d</t>
  </si>
  <si>
    <t>cCo82(-)/d</t>
  </si>
  <si>
    <t>b SMPK 12,7mm/d</t>
  </si>
  <si>
    <t>cBB3 (-)</t>
  </si>
  <si>
    <t>Y tá/d</t>
  </si>
  <si>
    <t>Nuôi quân của cBB1</t>
  </si>
  <si>
    <t>Nuôi quân của cBB3 (-)</t>
  </si>
  <si>
    <t>a VTB</t>
  </si>
  <si>
    <t>TỔ CHỨC BIÊN CHẾ, TRANG BỊ HƯỚNG THỨ YẾU</t>
  </si>
  <si>
    <t>1b cCO82/d</t>
  </si>
  <si>
    <t>Nuôi quân của cBB2</t>
  </si>
  <si>
    <t>TỔ CHỨC BIÊN CHẾ, TRANG BỊ LỰC LƯỢNG DỰ BỊ</t>
  </si>
  <si>
    <t>bBB9 (cBB3)</t>
  </si>
  <si>
    <t>Nuôi quân của bBB9</t>
  </si>
  <si>
    <t>TỔ CHỨC BIÊN CHẾ, TRANG BỊ LỰC LƯỢNG CÒN LẠI</t>
  </si>
  <si>
    <t>Lực lượng còn lại</t>
  </si>
  <si>
    <t>2. Lực lượng tăng cường</t>
  </si>
  <si>
    <t>1 ccO100/e</t>
  </si>
  <si>
    <t>1 aTT/e</t>
  </si>
  <si>
    <t>Số Khẩu</t>
  </si>
  <si>
    <t>Tr.l /1V</t>
  </si>
  <si>
    <t>SV/CS</t>
  </si>
  <si>
    <t>TL 1CS</t>
  </si>
  <si>
    <t>B41,M79</t>
  </si>
  <si>
    <t>1CS Đạn BB N1</t>
  </si>
  <si>
    <t>Co60</t>
  </si>
  <si>
    <t>Co82</t>
  </si>
  <si>
    <t>Co100</t>
  </si>
  <si>
    <t>1CS Đạn BB N2</t>
  </si>
  <si>
    <t>SMPK12,7</t>
  </si>
  <si>
    <t>1 CS Đạn HL</t>
  </si>
  <si>
    <t>1 CS Lựu đạn</t>
  </si>
  <si>
    <t>Thuốc nổ</t>
  </si>
  <si>
    <t>1 CS Thuốc nổ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</si>
</sst>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"/>
  </numFmts>
  <fonts count="16">
    <font>
      <sz val="11"/>
      <color theme="1"/>
      <name val="Calibri"/>
      <family val="2"/>
      <scheme val="minor"/>
    </font>
    <font>
      <b/>
      <sz val="14"/>
      <color theme="1"/>
      <name val="#9Slide02 Tieu de rat dai 01"/>
      <charset val="163"/>
    </font>
    <font>
      <b/>
      <sz val="13"/>
      <color theme="1"/>
      <name val="#9Slide02 Tieu de rat dai 01"/>
      <charset val="163"/>
    </font>
    <font>
      <sz val="13"/>
      <color theme="1"/>
      <name val="#9Slide02 Tieu de rat dai 01"/>
      <charset val="163"/>
    </font>
    <font>
      <sz val="14"/>
      <color theme="1"/>
      <name val="#9Slide02 Tieu de rat dai 01"/>
      <charset val="163"/>
    </font>
    <font>
      <sz val="14"/>
      <color theme="1"/>
      <name val="Calibri"/>
      <family val="2"/>
      <charset val="163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name val="Times New Roman"/>
      <family val="1"/>
    </font>
    <font>
      <b/>
      <sz val="14"/>
      <color rgb="FFFF0000"/>
      <name val="Times New Roman"/>
      <family val="1"/>
      <charset val="163"/>
    </font>
    <font>
      <sz val="14"/>
      <color theme="1"/>
      <name val="Times New Roman"/>
      <family val="1"/>
      <charset val="163"/>
    </font>
    <font>
      <sz val="14"/>
      <name val="Times New Roman"/>
      <family val="1"/>
      <charset val="163"/>
    </font>
    <font>
      <b/>
      <sz val="14"/>
      <name val="Times New Roman"/>
      <family val="1"/>
      <charset val="163"/>
    </font>
    <font>
      <b/>
      <sz val="14"/>
      <color theme="1"/>
      <name val="Times New Roman"/>
      <family val="1"/>
      <charset val="163"/>
    </font>
    <font>
      <sz val="11"/>
      <color theme="1"/>
      <name val="Times New Roman"/>
      <family val="1"/>
      <charset val="163"/>
    </font>
    <font>
      <b/>
      <sz val="11"/>
      <color theme="1"/>
      <name val="Times New Roman"/>
      <family val="1"/>
      <charset val="163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9" fillId="5" borderId="1" xfId="0" applyFont="1" applyFill="1" applyBorder="1" applyAlignment="1">
      <alignment vertical="center"/>
    </xf>
    <xf numFmtId="0" fontId="9" fillId="5" borderId="1" xfId="0" applyFont="1" applyFill="1" applyBorder="1" applyAlignment="1">
      <alignment horizontal="center" vertical="center"/>
    </xf>
    <xf numFmtId="0" fontId="10" fillId="0" borderId="0" xfId="0" applyFont="1"/>
    <xf numFmtId="0" fontId="10" fillId="0" borderId="1" xfId="0" applyFont="1" applyBorder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4" fontId="11" fillId="4" borderId="1" xfId="0" applyNumberFormat="1" applyFont="1" applyFill="1" applyBorder="1"/>
    <xf numFmtId="4" fontId="12" fillId="4" borderId="1" xfId="0" applyNumberFormat="1" applyFont="1" applyFill="1" applyBorder="1" applyAlignment="1">
      <alignment horizontal="center" vertical="center"/>
    </xf>
    <xf numFmtId="164" fontId="12" fillId="4" borderId="1" xfId="0" applyNumberFormat="1" applyFont="1" applyFill="1" applyBorder="1" applyAlignment="1">
      <alignment horizontal="center" vertical="center"/>
    </xf>
    <xf numFmtId="3" fontId="12" fillId="4" borderId="1" xfId="0" applyNumberFormat="1" applyFont="1" applyFill="1" applyBorder="1" applyAlignment="1">
      <alignment horizontal="center" vertical="center"/>
    </xf>
    <xf numFmtId="3" fontId="11" fillId="6" borderId="1" xfId="0" applyNumberFormat="1" applyFont="1" applyFill="1" applyBorder="1" applyAlignment="1">
      <alignment horizontal="right" vertical="center"/>
    </xf>
    <xf numFmtId="164" fontId="11" fillId="0" borderId="1" xfId="0" applyNumberFormat="1" applyFont="1" applyBorder="1" applyAlignment="1">
      <alignment horizontal="right" vertical="center"/>
    </xf>
    <xf numFmtId="3" fontId="11" fillId="0" borderId="1" xfId="0" applyNumberFormat="1" applyFont="1" applyBorder="1" applyAlignment="1">
      <alignment horizontal="right" vertical="center"/>
    </xf>
    <xf numFmtId="164" fontId="12" fillId="4" borderId="1" xfId="0" applyNumberFormat="1" applyFont="1" applyFill="1" applyBorder="1" applyAlignment="1">
      <alignment horizontal="right" vertical="center"/>
    </xf>
    <xf numFmtId="165" fontId="11" fillId="0" borderId="1" xfId="0" applyNumberFormat="1" applyFont="1" applyBorder="1" applyAlignment="1">
      <alignment horizontal="right" vertical="center"/>
    </xf>
    <xf numFmtId="164" fontId="12" fillId="4" borderId="1" xfId="0" applyNumberFormat="1" applyFont="1" applyFill="1" applyBorder="1" applyAlignment="1">
      <alignment horizontal="right"/>
    </xf>
    <xf numFmtId="0" fontId="13" fillId="4" borderId="1" xfId="0" applyFont="1" applyFill="1" applyBorder="1"/>
    <xf numFmtId="0" fontId="14" fillId="6" borderId="1" xfId="0" applyFont="1" applyFill="1" applyBorder="1"/>
    <xf numFmtId="164" fontId="14" fillId="0" borderId="1" xfId="0" applyNumberFormat="1" applyFont="1" applyBorder="1"/>
    <xf numFmtId="3" fontId="14" fillId="0" borderId="1" xfId="0" applyNumberFormat="1" applyFont="1" applyBorder="1"/>
    <xf numFmtId="164" fontId="11" fillId="0" borderId="1" xfId="0" applyNumberFormat="1" applyFont="1" applyBorder="1" applyAlignment="1">
      <alignment horizontal="right"/>
    </xf>
    <xf numFmtId="0" fontId="15" fillId="0" borderId="1" xfId="0" applyFont="1" applyBorder="1"/>
    <xf numFmtId="0" fontId="14" fillId="0" borderId="1" xfId="0" applyFont="1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4" fontId="12" fillId="4" borderId="1" xfId="0" applyNumberFormat="1" applyFont="1" applyFill="1" applyBorder="1" applyAlignment="1">
      <alignment horizontal="center" vertical="center"/>
    </xf>
    <xf numFmtId="4" fontId="12" fillId="4" borderId="3" xfId="0" applyNumberFormat="1" applyFont="1" applyFill="1" applyBorder="1" applyAlignment="1">
      <alignment horizontal="center" vertical="center"/>
    </xf>
    <xf numFmtId="4" fontId="12" fillId="4" borderId="4" xfId="0" applyNumberFormat="1" applyFont="1" applyFill="1" applyBorder="1" applyAlignment="1">
      <alignment horizontal="center" vertical="center"/>
    </xf>
    <xf numFmtId="4" fontId="12" fillId="4" borderId="2" xfId="0" applyNumberFormat="1" applyFont="1" applyFill="1" applyBorder="1" applyAlignment="1">
      <alignment horizontal="center" vertical="center"/>
    </xf>
    <xf numFmtId="4" fontId="12" fillId="4" borderId="3" xfId="0" applyNumberFormat="1" applyFont="1" applyFill="1" applyBorder="1" applyAlignment="1">
      <alignment horizontal="center"/>
    </xf>
    <xf numFmtId="4" fontId="12" fillId="4" borderId="4" xfId="0" applyNumberFormat="1" applyFont="1" applyFill="1" applyBorder="1" applyAlignment="1">
      <alignment horizontal="center"/>
    </xf>
    <xf numFmtId="4" fontId="12" fillId="4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C2E9E-F20D-4E34-8A4B-98D87EAC44F3}">
  <dimension ref="A1:O19"/>
  <sheetViews>
    <sheetView zoomScale="40" zoomScaleNormal="40" workbookViewId="0">
      <selection activeCell="V8" sqref="V8"/>
    </sheetView>
  </sheetViews>
  <sheetFormatPr defaultRowHeight="14.5"/>
  <cols>
    <col min="1" max="1" width="15.54296875" customWidth="1"/>
    <col min="14" max="14" width="13.08984375" customWidth="1"/>
    <col min="15" max="15" width="14.1796875" customWidth="1"/>
  </cols>
  <sheetData>
    <row r="1" spans="1:15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2" spans="1:1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</row>
    <row r="3" spans="1:15" ht="16.5">
      <c r="A3" s="33" t="s">
        <v>1</v>
      </c>
      <c r="B3" s="33" t="s">
        <v>2</v>
      </c>
      <c r="C3" s="33" t="s">
        <v>3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4" t="s">
        <v>4</v>
      </c>
      <c r="O3" s="34"/>
    </row>
    <row r="4" spans="1:15" ht="33">
      <c r="A4" s="33"/>
      <c r="B4" s="33"/>
      <c r="C4" s="33" t="s">
        <v>5</v>
      </c>
      <c r="D4" s="33"/>
      <c r="E4" s="33"/>
      <c r="F4" s="33"/>
      <c r="G4" s="33"/>
      <c r="H4" s="33" t="s">
        <v>6</v>
      </c>
      <c r="I4" s="33" t="s">
        <v>7</v>
      </c>
      <c r="J4" s="33"/>
      <c r="K4" s="33"/>
      <c r="L4" s="1" t="s">
        <v>8</v>
      </c>
      <c r="M4" s="1" t="s">
        <v>9</v>
      </c>
      <c r="N4" s="2" t="s">
        <v>10</v>
      </c>
      <c r="O4" s="2" t="s">
        <v>11</v>
      </c>
    </row>
    <row r="5" spans="1:15" ht="33">
      <c r="A5" s="33"/>
      <c r="B5" s="33"/>
      <c r="C5" s="1" t="s">
        <v>12</v>
      </c>
      <c r="D5" s="1" t="s">
        <v>13</v>
      </c>
      <c r="E5" s="1" t="s">
        <v>14</v>
      </c>
      <c r="F5" s="1" t="s">
        <v>15</v>
      </c>
      <c r="G5" s="1" t="s">
        <v>16</v>
      </c>
      <c r="H5" s="33"/>
      <c r="I5" s="1">
        <v>60</v>
      </c>
      <c r="J5" s="1">
        <v>82</v>
      </c>
      <c r="K5" s="1">
        <v>100</v>
      </c>
      <c r="L5" s="1" t="s">
        <v>17</v>
      </c>
      <c r="M5" s="1">
        <v>12.7</v>
      </c>
      <c r="N5" s="3"/>
      <c r="O5" s="3"/>
    </row>
    <row r="6" spans="1:15" ht="35">
      <c r="A6" s="4" t="s">
        <v>18</v>
      </c>
      <c r="B6" s="4">
        <v>546</v>
      </c>
      <c r="C6" s="4">
        <v>22</v>
      </c>
      <c r="D6" s="4">
        <v>289</v>
      </c>
      <c r="E6" s="4">
        <v>27</v>
      </c>
      <c r="F6" s="4">
        <v>6</v>
      </c>
      <c r="G6" s="4">
        <v>54</v>
      </c>
      <c r="H6" s="4">
        <v>1444</v>
      </c>
      <c r="I6" s="4">
        <v>6</v>
      </c>
      <c r="J6" s="4">
        <v>4</v>
      </c>
      <c r="K6" s="4">
        <v>0</v>
      </c>
      <c r="L6" s="4">
        <v>3</v>
      </c>
      <c r="M6" s="4">
        <v>3</v>
      </c>
      <c r="N6" s="4">
        <v>0</v>
      </c>
      <c r="O6" s="4">
        <v>0</v>
      </c>
    </row>
    <row r="7" spans="1:15" ht="18.5">
      <c r="A7" s="5" t="s">
        <v>19</v>
      </c>
      <c r="B7" s="6">
        <v>546</v>
      </c>
      <c r="C7" s="6">
        <v>22</v>
      </c>
      <c r="D7" s="6">
        <v>289</v>
      </c>
      <c r="E7" s="6">
        <v>27</v>
      </c>
      <c r="F7" s="6">
        <v>6</v>
      </c>
      <c r="G7" s="6">
        <v>54</v>
      </c>
      <c r="H7" s="6">
        <v>1444</v>
      </c>
      <c r="I7" s="6">
        <v>6</v>
      </c>
      <c r="J7" s="6">
        <v>4</v>
      </c>
      <c r="K7" s="6">
        <v>0</v>
      </c>
      <c r="L7" s="6">
        <v>3</v>
      </c>
      <c r="M7" s="6">
        <v>3</v>
      </c>
      <c r="N7" s="3"/>
      <c r="O7" s="3"/>
    </row>
    <row r="8" spans="1:15" ht="35">
      <c r="A8" s="4" t="s">
        <v>20</v>
      </c>
      <c r="B8" s="4">
        <f>SUM(B9:B18)</f>
        <v>335</v>
      </c>
      <c r="C8" s="4">
        <f t="shared" ref="C8:O8" si="0">SUM(C9:C18)</f>
        <v>14</v>
      </c>
      <c r="D8" s="4">
        <f t="shared" si="0"/>
        <v>150</v>
      </c>
      <c r="E8" s="4">
        <f t="shared" si="0"/>
        <v>0</v>
      </c>
      <c r="F8" s="4">
        <f t="shared" si="0"/>
        <v>0</v>
      </c>
      <c r="G8" s="4">
        <f t="shared" si="0"/>
        <v>0</v>
      </c>
      <c r="H8" s="4">
        <f t="shared" si="0"/>
        <v>629</v>
      </c>
      <c r="I8" s="4">
        <f t="shared" si="0"/>
        <v>0</v>
      </c>
      <c r="J8" s="4">
        <f t="shared" si="0"/>
        <v>0</v>
      </c>
      <c r="K8" s="4">
        <f t="shared" si="0"/>
        <v>4</v>
      </c>
      <c r="L8" s="4">
        <f t="shared" si="0"/>
        <v>6</v>
      </c>
      <c r="M8" s="4">
        <f t="shared" si="0"/>
        <v>6</v>
      </c>
      <c r="N8" s="4">
        <f t="shared" si="0"/>
        <v>0</v>
      </c>
      <c r="O8" s="4">
        <f t="shared" si="0"/>
        <v>0</v>
      </c>
    </row>
    <row r="9" spans="1:15" ht="18.5">
      <c r="A9" s="7" t="s">
        <v>21</v>
      </c>
      <c r="B9" s="6">
        <v>74</v>
      </c>
      <c r="C9" s="6">
        <v>4</v>
      </c>
      <c r="D9" s="6">
        <v>30</v>
      </c>
      <c r="E9" s="6"/>
      <c r="F9" s="6"/>
      <c r="G9" s="6"/>
      <c r="H9" s="6">
        <v>139</v>
      </c>
      <c r="I9" s="6"/>
      <c r="J9" s="6"/>
      <c r="K9" s="6">
        <v>4</v>
      </c>
      <c r="L9" s="6"/>
      <c r="M9" s="6"/>
      <c r="N9" s="3"/>
      <c r="O9" s="3"/>
    </row>
    <row r="10" spans="1:15" ht="18.5">
      <c r="A10" s="7" t="s">
        <v>22</v>
      </c>
      <c r="B10" s="6">
        <v>69</v>
      </c>
      <c r="C10" s="6">
        <v>4</v>
      </c>
      <c r="D10" s="6">
        <v>26</v>
      </c>
      <c r="E10" s="6"/>
      <c r="F10" s="6"/>
      <c r="G10" s="6"/>
      <c r="H10" s="6">
        <v>130</v>
      </c>
      <c r="I10" s="6"/>
      <c r="J10" s="6"/>
      <c r="K10" s="6"/>
      <c r="L10" s="6">
        <v>6</v>
      </c>
      <c r="M10" s="6"/>
      <c r="N10" s="3"/>
      <c r="O10" s="3"/>
    </row>
    <row r="11" spans="1:15" ht="36">
      <c r="A11" s="7" t="s">
        <v>23</v>
      </c>
      <c r="B11" s="6">
        <v>82</v>
      </c>
      <c r="C11" s="6">
        <v>4</v>
      </c>
      <c r="D11" s="6">
        <v>26</v>
      </c>
      <c r="E11" s="6"/>
      <c r="F11" s="6"/>
      <c r="G11" s="6"/>
      <c r="H11" s="6">
        <v>156</v>
      </c>
      <c r="I11" s="6"/>
      <c r="J11" s="6"/>
      <c r="K11" s="6"/>
      <c r="L11" s="6"/>
      <c r="M11" s="6">
        <v>6</v>
      </c>
      <c r="N11" s="3"/>
      <c r="O11" s="3"/>
    </row>
    <row r="12" spans="1:15" ht="18.5">
      <c r="A12" s="7" t="s">
        <v>24</v>
      </c>
      <c r="B12" s="6">
        <v>28</v>
      </c>
      <c r="C12" s="6"/>
      <c r="D12" s="6">
        <v>10</v>
      </c>
      <c r="E12" s="6"/>
      <c r="F12" s="6"/>
      <c r="G12" s="6"/>
      <c r="H12" s="6">
        <v>56</v>
      </c>
      <c r="I12" s="6"/>
      <c r="J12" s="6"/>
      <c r="K12" s="6"/>
      <c r="L12" s="6"/>
      <c r="M12" s="6"/>
      <c r="N12" s="3"/>
      <c r="O12" s="3"/>
    </row>
    <row r="13" spans="1:15" ht="18.5">
      <c r="A13" s="8" t="s">
        <v>25</v>
      </c>
      <c r="B13" s="9">
        <v>3</v>
      </c>
      <c r="C13" s="9"/>
      <c r="D13" s="9">
        <v>0</v>
      </c>
      <c r="E13" s="9"/>
      <c r="F13" s="9"/>
      <c r="G13" s="9"/>
      <c r="H13" s="9">
        <v>0</v>
      </c>
      <c r="I13" s="9"/>
      <c r="J13" s="9"/>
      <c r="K13" s="9"/>
      <c r="L13" s="9"/>
      <c r="M13" s="9"/>
      <c r="N13" s="3"/>
      <c r="O13" s="3"/>
    </row>
    <row r="14" spans="1:15" ht="18.5">
      <c r="A14" s="8" t="s">
        <v>26</v>
      </c>
      <c r="B14" s="9">
        <v>9</v>
      </c>
      <c r="C14" s="9"/>
      <c r="D14" s="9">
        <v>2</v>
      </c>
      <c r="E14" s="9"/>
      <c r="F14" s="9"/>
      <c r="G14" s="9"/>
      <c r="H14" s="9">
        <v>8</v>
      </c>
      <c r="I14" s="9"/>
      <c r="J14" s="9"/>
      <c r="K14" s="9"/>
      <c r="L14" s="9"/>
      <c r="M14" s="9"/>
      <c r="N14" s="3"/>
      <c r="O14" s="3"/>
    </row>
    <row r="15" spans="1:15" ht="18.5">
      <c r="A15" s="8" t="s">
        <v>27</v>
      </c>
      <c r="B15" s="9">
        <v>26</v>
      </c>
      <c r="C15" s="9">
        <v>2</v>
      </c>
      <c r="D15" s="9">
        <v>24</v>
      </c>
      <c r="E15" s="9"/>
      <c r="F15" s="9"/>
      <c r="G15" s="9"/>
      <c r="H15" s="9">
        <v>52</v>
      </c>
      <c r="I15" s="9"/>
      <c r="J15" s="9"/>
      <c r="K15" s="9"/>
      <c r="L15" s="9"/>
      <c r="M15" s="9"/>
      <c r="N15" s="3"/>
      <c r="O15" s="3"/>
    </row>
    <row r="16" spans="1:15" ht="18.5">
      <c r="A16" s="7" t="s">
        <v>28</v>
      </c>
      <c r="B16" s="6">
        <v>32</v>
      </c>
      <c r="C16" s="6"/>
      <c r="D16" s="6">
        <v>22</v>
      </c>
      <c r="E16" s="6"/>
      <c r="F16" s="6"/>
      <c r="G16" s="6"/>
      <c r="H16" s="6">
        <v>64</v>
      </c>
      <c r="I16" s="6"/>
      <c r="J16" s="6"/>
      <c r="K16" s="6"/>
      <c r="L16" s="6"/>
      <c r="M16" s="6"/>
      <c r="N16" s="3"/>
      <c r="O16" s="3"/>
    </row>
    <row r="17" spans="1:15" ht="18.5">
      <c r="A17" s="7" t="s">
        <v>29</v>
      </c>
      <c r="B17" s="6">
        <v>3</v>
      </c>
      <c r="C17" s="6"/>
      <c r="D17" s="6">
        <v>1</v>
      </c>
      <c r="E17" s="6"/>
      <c r="F17" s="6"/>
      <c r="G17" s="6"/>
      <c r="H17" s="6">
        <v>6</v>
      </c>
      <c r="I17" s="6"/>
      <c r="J17" s="6"/>
      <c r="K17" s="6"/>
      <c r="L17" s="6"/>
      <c r="M17" s="6"/>
      <c r="N17" s="3"/>
      <c r="O17" s="3"/>
    </row>
    <row r="18" spans="1:15" ht="18.5">
      <c r="A18" s="7" t="s">
        <v>30</v>
      </c>
      <c r="B18" s="6">
        <v>9</v>
      </c>
      <c r="C18" s="6"/>
      <c r="D18" s="6">
        <v>9</v>
      </c>
      <c r="E18" s="6"/>
      <c r="F18" s="6"/>
      <c r="G18" s="6"/>
      <c r="H18" s="6">
        <v>18</v>
      </c>
      <c r="I18" s="6"/>
      <c r="J18" s="6"/>
      <c r="K18" s="6"/>
      <c r="L18" s="6"/>
      <c r="M18" s="6"/>
      <c r="N18" s="3"/>
      <c r="O18" s="3"/>
    </row>
    <row r="19" spans="1:15" ht="17.5">
      <c r="A19" s="10" t="s">
        <v>31</v>
      </c>
      <c r="B19" s="11">
        <f t="shared" ref="B19:O19" si="1">B7+B8</f>
        <v>881</v>
      </c>
      <c r="C19" s="11">
        <f t="shared" si="1"/>
        <v>36</v>
      </c>
      <c r="D19" s="11">
        <f t="shared" si="1"/>
        <v>439</v>
      </c>
      <c r="E19" s="11">
        <f t="shared" si="1"/>
        <v>27</v>
      </c>
      <c r="F19" s="11">
        <f t="shared" si="1"/>
        <v>6</v>
      </c>
      <c r="G19" s="11">
        <f>G7+G8</f>
        <v>54</v>
      </c>
      <c r="H19" s="11">
        <f t="shared" si="1"/>
        <v>2073</v>
      </c>
      <c r="I19" s="11">
        <f t="shared" si="1"/>
        <v>6</v>
      </c>
      <c r="J19" s="11">
        <f t="shared" si="1"/>
        <v>4</v>
      </c>
      <c r="K19" s="11">
        <f t="shared" si="1"/>
        <v>4</v>
      </c>
      <c r="L19" s="11">
        <f t="shared" si="1"/>
        <v>9</v>
      </c>
      <c r="M19" s="11">
        <f t="shared" si="1"/>
        <v>9</v>
      </c>
      <c r="N19" s="11">
        <f t="shared" si="1"/>
        <v>0</v>
      </c>
      <c r="O19" s="11">
        <f t="shared" si="1"/>
        <v>0</v>
      </c>
    </row>
  </sheetData>
  <mergeCells count="8">
    <mergeCell ref="A1:O2"/>
    <mergeCell ref="A3:A5"/>
    <mergeCell ref="B3:B5"/>
    <mergeCell ref="C3:M3"/>
    <mergeCell ref="N3:O3"/>
    <mergeCell ref="C4:G4"/>
    <mergeCell ref="H4:H5"/>
    <mergeCell ref="I4:K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86BCF-3723-468E-8178-B7EF7E1C4E29}">
  <dimension ref="A1:O17"/>
  <sheetViews>
    <sheetView topLeftCell="A13" workbookViewId="0">
      <selection activeCell="E17" sqref="E17"/>
    </sheetView>
  </sheetViews>
  <sheetFormatPr defaultRowHeight="14.5"/>
  <cols>
    <col min="1" max="1" width="17.36328125" customWidth="1"/>
    <col min="2" max="2" width="9.90625" customWidth="1"/>
    <col min="14" max="14" width="11.453125" customWidth="1"/>
    <col min="15" max="15" width="12.453125" customWidth="1"/>
  </cols>
  <sheetData>
    <row r="1" spans="1:15">
      <c r="A1" s="32" t="s">
        <v>32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2" spans="1:1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</row>
    <row r="3" spans="1:15" ht="17.5">
      <c r="A3" s="33" t="s">
        <v>1</v>
      </c>
      <c r="B3" s="33" t="s">
        <v>2</v>
      </c>
      <c r="C3" s="33" t="s">
        <v>3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5" t="s">
        <v>4</v>
      </c>
      <c r="O3" s="35"/>
    </row>
    <row r="4" spans="1:15" ht="33">
      <c r="A4" s="33"/>
      <c r="B4" s="33"/>
      <c r="C4" s="33" t="s">
        <v>5</v>
      </c>
      <c r="D4" s="33"/>
      <c r="E4" s="33"/>
      <c r="F4" s="33"/>
      <c r="G4" s="33"/>
      <c r="H4" s="33" t="s">
        <v>6</v>
      </c>
      <c r="I4" s="33" t="s">
        <v>7</v>
      </c>
      <c r="J4" s="33"/>
      <c r="K4" s="33"/>
      <c r="L4" s="1" t="s">
        <v>8</v>
      </c>
      <c r="M4" s="1" t="s">
        <v>9</v>
      </c>
      <c r="N4" s="2" t="s">
        <v>10</v>
      </c>
      <c r="O4" s="2" t="s">
        <v>11</v>
      </c>
    </row>
    <row r="5" spans="1:15" ht="33">
      <c r="A5" s="33"/>
      <c r="B5" s="33"/>
      <c r="C5" s="1" t="s">
        <v>12</v>
      </c>
      <c r="D5" s="1" t="s">
        <v>13</v>
      </c>
      <c r="E5" s="1" t="s">
        <v>14</v>
      </c>
      <c r="F5" s="1" t="s">
        <v>15</v>
      </c>
      <c r="G5" s="1" t="s">
        <v>16</v>
      </c>
      <c r="H5" s="33"/>
      <c r="I5" s="1">
        <v>60</v>
      </c>
      <c r="J5" s="1">
        <v>82</v>
      </c>
      <c r="K5" s="1">
        <v>100</v>
      </c>
      <c r="L5" s="1" t="s">
        <v>17</v>
      </c>
      <c r="M5" s="1">
        <v>12.7</v>
      </c>
      <c r="N5" s="3"/>
      <c r="O5" s="3"/>
    </row>
    <row r="6" spans="1:15" ht="35">
      <c r="A6" s="4" t="s">
        <v>18</v>
      </c>
      <c r="B6" s="4">
        <v>111</v>
      </c>
      <c r="C6" s="4">
        <v>4</v>
      </c>
      <c r="D6" s="4">
        <v>68</v>
      </c>
      <c r="E6" s="4">
        <v>9</v>
      </c>
      <c r="F6" s="4">
        <v>2</v>
      </c>
      <c r="G6" s="4">
        <v>18</v>
      </c>
      <c r="H6" s="4">
        <v>346</v>
      </c>
      <c r="I6" s="4">
        <f>I7</f>
        <v>2</v>
      </c>
      <c r="J6" s="4">
        <f t="shared" ref="J6:M6" si="0">J7</f>
        <v>0</v>
      </c>
      <c r="K6" s="4">
        <f t="shared" si="0"/>
        <v>0</v>
      </c>
      <c r="L6" s="4">
        <f>L7</f>
        <v>0</v>
      </c>
      <c r="M6" s="4">
        <f t="shared" si="0"/>
        <v>0</v>
      </c>
      <c r="N6" s="4">
        <f>N7</f>
        <v>0</v>
      </c>
      <c r="O6" s="4">
        <f>O7</f>
        <v>0</v>
      </c>
    </row>
    <row r="7" spans="1:15" ht="18.5">
      <c r="A7" s="5" t="s">
        <v>33</v>
      </c>
      <c r="B7" s="6">
        <v>111</v>
      </c>
      <c r="C7" s="6">
        <v>4</v>
      </c>
      <c r="D7" s="6">
        <v>68</v>
      </c>
      <c r="E7" s="6">
        <v>9</v>
      </c>
      <c r="F7" s="6">
        <v>2</v>
      </c>
      <c r="G7" s="6">
        <v>18</v>
      </c>
      <c r="H7" s="6">
        <v>346</v>
      </c>
      <c r="I7" s="6">
        <v>2</v>
      </c>
      <c r="J7" s="6">
        <v>0</v>
      </c>
      <c r="K7" s="6">
        <v>0</v>
      </c>
      <c r="L7" s="6">
        <v>0</v>
      </c>
      <c r="M7" s="6">
        <v>0</v>
      </c>
      <c r="N7" s="3"/>
      <c r="O7" s="3"/>
    </row>
    <row r="8" spans="1:15" ht="35">
      <c r="A8" s="4" t="s">
        <v>34</v>
      </c>
      <c r="B8" s="4">
        <f t="shared" ref="B8:N8" si="1">SUM(B9:B16)</f>
        <v>200</v>
      </c>
      <c r="C8" s="4">
        <f t="shared" si="1"/>
        <v>8</v>
      </c>
      <c r="D8" s="4">
        <f t="shared" si="1"/>
        <v>89</v>
      </c>
      <c r="E8" s="4">
        <f t="shared" si="1"/>
        <v>6</v>
      </c>
      <c r="F8" s="4">
        <f t="shared" si="1"/>
        <v>2</v>
      </c>
      <c r="G8" s="4">
        <f t="shared" si="1"/>
        <v>12</v>
      </c>
      <c r="H8" s="4">
        <f t="shared" si="1"/>
        <v>476</v>
      </c>
      <c r="I8" s="4">
        <f t="shared" si="1"/>
        <v>2</v>
      </c>
      <c r="J8" s="4">
        <f t="shared" si="1"/>
        <v>3</v>
      </c>
      <c r="K8" s="4">
        <f t="shared" si="1"/>
        <v>0</v>
      </c>
      <c r="L8" s="4">
        <f t="shared" si="1"/>
        <v>3</v>
      </c>
      <c r="M8" s="4">
        <f t="shared" si="1"/>
        <v>3</v>
      </c>
      <c r="N8" s="4">
        <f t="shared" si="1"/>
        <v>0</v>
      </c>
      <c r="O8" s="4">
        <f>SUM(O9:O16)</f>
        <v>0</v>
      </c>
    </row>
    <row r="9" spans="1:15" ht="18.5">
      <c r="A9" s="7" t="s">
        <v>35</v>
      </c>
      <c r="B9" s="6">
        <v>29</v>
      </c>
      <c r="C9" s="6"/>
      <c r="D9" s="6">
        <v>11</v>
      </c>
      <c r="E9" s="6"/>
      <c r="F9" s="6"/>
      <c r="G9" s="6"/>
      <c r="H9" s="6">
        <v>58</v>
      </c>
      <c r="I9" s="6"/>
      <c r="J9" s="6"/>
      <c r="K9" s="6"/>
      <c r="L9" s="6">
        <v>3</v>
      </c>
      <c r="M9" s="6"/>
      <c r="N9" s="3"/>
      <c r="O9" s="3"/>
    </row>
    <row r="10" spans="1:15" ht="18.5">
      <c r="A10" s="7" t="s">
        <v>36</v>
      </c>
      <c r="B10" s="6">
        <v>34</v>
      </c>
      <c r="C10" s="6">
        <v>4</v>
      </c>
      <c r="D10" s="6">
        <v>12</v>
      </c>
      <c r="E10" s="6"/>
      <c r="F10" s="6"/>
      <c r="G10" s="6"/>
      <c r="H10" s="6">
        <v>62</v>
      </c>
      <c r="I10" s="6"/>
      <c r="J10" s="6">
        <v>3</v>
      </c>
      <c r="K10" s="6"/>
      <c r="L10" s="6"/>
      <c r="M10" s="6"/>
      <c r="N10" s="3"/>
      <c r="O10" s="3"/>
    </row>
    <row r="11" spans="1:15" ht="36">
      <c r="A11" s="7" t="s">
        <v>37</v>
      </c>
      <c r="B11" s="6">
        <v>35</v>
      </c>
      <c r="C11" s="6"/>
      <c r="D11" s="6">
        <v>11</v>
      </c>
      <c r="E11" s="6"/>
      <c r="F11" s="6"/>
      <c r="G11" s="6"/>
      <c r="H11" s="6">
        <v>70</v>
      </c>
      <c r="I11" s="6"/>
      <c r="J11" s="6"/>
      <c r="K11" s="6"/>
      <c r="L11" s="6"/>
      <c r="M11" s="6">
        <v>3</v>
      </c>
      <c r="N11" s="3"/>
      <c r="O11" s="3"/>
    </row>
    <row r="12" spans="1:15" ht="18.5">
      <c r="A12" s="7" t="s">
        <v>38</v>
      </c>
      <c r="B12" s="6">
        <v>82</v>
      </c>
      <c r="C12" s="6">
        <v>4</v>
      </c>
      <c r="D12" s="6">
        <v>48</v>
      </c>
      <c r="E12" s="6">
        <v>6</v>
      </c>
      <c r="F12" s="6">
        <v>2</v>
      </c>
      <c r="G12" s="6">
        <v>12</v>
      </c>
      <c r="H12" s="6">
        <f>346-102</f>
        <v>244</v>
      </c>
      <c r="I12" s="6">
        <v>2</v>
      </c>
      <c r="J12" s="6"/>
      <c r="K12" s="6"/>
      <c r="L12" s="6"/>
      <c r="M12" s="6"/>
      <c r="N12" s="3"/>
      <c r="O12" s="3"/>
    </row>
    <row r="13" spans="1:15" ht="18.5">
      <c r="A13" s="8" t="s">
        <v>39</v>
      </c>
      <c r="B13" s="9">
        <v>1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3"/>
      <c r="O13" s="3"/>
    </row>
    <row r="14" spans="1:15" ht="36">
      <c r="A14" s="8" t="s">
        <v>40</v>
      </c>
      <c r="B14" s="9">
        <v>5</v>
      </c>
      <c r="C14" s="9"/>
      <c r="D14" s="9">
        <v>2</v>
      </c>
      <c r="E14" s="9"/>
      <c r="F14" s="9"/>
      <c r="G14" s="9"/>
      <c r="H14" s="9">
        <v>12</v>
      </c>
      <c r="I14" s="9"/>
      <c r="J14" s="9"/>
      <c r="K14" s="9"/>
      <c r="L14" s="9"/>
      <c r="M14" s="9"/>
      <c r="N14" s="3"/>
      <c r="O14" s="3"/>
    </row>
    <row r="15" spans="1:15" ht="36">
      <c r="A15" s="8" t="s">
        <v>41</v>
      </c>
      <c r="B15" s="9">
        <v>5</v>
      </c>
      <c r="C15" s="9"/>
      <c r="D15" s="9">
        <v>2</v>
      </c>
      <c r="E15" s="9"/>
      <c r="F15" s="9"/>
      <c r="G15" s="9"/>
      <c r="H15" s="9">
        <v>12</v>
      </c>
      <c r="I15" s="9"/>
      <c r="J15" s="9"/>
      <c r="K15" s="9"/>
      <c r="L15" s="9"/>
      <c r="M15" s="9"/>
      <c r="N15" s="3"/>
      <c r="O15" s="3"/>
    </row>
    <row r="16" spans="1:15" ht="18.5">
      <c r="A16" s="7" t="s">
        <v>42</v>
      </c>
      <c r="B16" s="6">
        <v>9</v>
      </c>
      <c r="C16" s="6"/>
      <c r="D16" s="6">
        <v>3</v>
      </c>
      <c r="E16" s="6"/>
      <c r="F16" s="6"/>
      <c r="G16" s="6"/>
      <c r="H16" s="6">
        <v>18</v>
      </c>
      <c r="I16" s="6"/>
      <c r="J16" s="6"/>
      <c r="K16" s="6"/>
      <c r="L16" s="6"/>
      <c r="M16" s="6"/>
      <c r="N16" s="3"/>
      <c r="O16" s="3"/>
    </row>
    <row r="17" spans="1:15" ht="17.5">
      <c r="A17" s="10" t="s">
        <v>31</v>
      </c>
      <c r="B17" s="11">
        <f t="shared" ref="B17:O17" si="2">B7+B8</f>
        <v>311</v>
      </c>
      <c r="C17" s="11">
        <f t="shared" si="2"/>
        <v>12</v>
      </c>
      <c r="D17" s="11">
        <f t="shared" si="2"/>
        <v>157</v>
      </c>
      <c r="E17" s="11">
        <f t="shared" si="2"/>
        <v>15</v>
      </c>
      <c r="F17" s="11">
        <f t="shared" si="2"/>
        <v>4</v>
      </c>
      <c r="G17" s="11">
        <f t="shared" si="2"/>
        <v>30</v>
      </c>
      <c r="H17" s="11">
        <f t="shared" si="2"/>
        <v>822</v>
      </c>
      <c r="I17" s="11">
        <f t="shared" si="2"/>
        <v>4</v>
      </c>
      <c r="J17" s="11">
        <f t="shared" si="2"/>
        <v>3</v>
      </c>
      <c r="K17" s="11">
        <f t="shared" si="2"/>
        <v>0</v>
      </c>
      <c r="L17" s="11">
        <f t="shared" si="2"/>
        <v>3</v>
      </c>
      <c r="M17" s="11">
        <f t="shared" si="2"/>
        <v>3</v>
      </c>
      <c r="N17" s="11">
        <f t="shared" si="2"/>
        <v>0</v>
      </c>
      <c r="O17" s="11">
        <f t="shared" si="2"/>
        <v>0</v>
      </c>
    </row>
  </sheetData>
  <mergeCells count="8">
    <mergeCell ref="A1:O2"/>
    <mergeCell ref="A3:A5"/>
    <mergeCell ref="B3:B5"/>
    <mergeCell ref="C3:M3"/>
    <mergeCell ref="N3:O3"/>
    <mergeCell ref="C4:G4"/>
    <mergeCell ref="H4:H5"/>
    <mergeCell ref="I4:K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2687B-7D8D-4A65-9153-518A84933C17}">
  <dimension ref="A1:O11"/>
  <sheetViews>
    <sheetView workbookViewId="0">
      <selection activeCell="H4" sqref="H4:H5"/>
    </sheetView>
  </sheetViews>
  <sheetFormatPr defaultRowHeight="14.5"/>
  <cols>
    <col min="1" max="1" width="16.453125" customWidth="1"/>
    <col min="14" max="14" width="11.7265625" customWidth="1"/>
    <col min="15" max="15" width="14.90625" customWidth="1"/>
  </cols>
  <sheetData>
    <row r="1" spans="1:15">
      <c r="A1" s="32" t="s">
        <v>43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2" spans="1:1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</row>
    <row r="3" spans="1:15" ht="17.5">
      <c r="A3" s="33" t="s">
        <v>1</v>
      </c>
      <c r="B3" s="33" t="s">
        <v>2</v>
      </c>
      <c r="C3" s="33" t="s">
        <v>3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5" t="s">
        <v>4</v>
      </c>
      <c r="O3" s="35"/>
    </row>
    <row r="4" spans="1:15" ht="33">
      <c r="A4" s="33"/>
      <c r="B4" s="33"/>
      <c r="C4" s="33" t="s">
        <v>5</v>
      </c>
      <c r="D4" s="33"/>
      <c r="E4" s="33"/>
      <c r="F4" s="33"/>
      <c r="G4" s="33"/>
      <c r="H4" s="33" t="s">
        <v>6</v>
      </c>
      <c r="I4" s="33" t="s">
        <v>7</v>
      </c>
      <c r="J4" s="33"/>
      <c r="K4" s="33"/>
      <c r="L4" s="1" t="s">
        <v>8</v>
      </c>
      <c r="M4" s="1" t="s">
        <v>9</v>
      </c>
      <c r="N4" s="2" t="s">
        <v>10</v>
      </c>
      <c r="O4" s="2" t="s">
        <v>11</v>
      </c>
    </row>
    <row r="5" spans="1:15" ht="33">
      <c r="A5" s="33"/>
      <c r="B5" s="33"/>
      <c r="C5" s="1" t="s">
        <v>12</v>
      </c>
      <c r="D5" s="1" t="s">
        <v>13</v>
      </c>
      <c r="E5" s="1" t="s">
        <v>14</v>
      </c>
      <c r="F5" s="1" t="s">
        <v>15</v>
      </c>
      <c r="G5" s="1" t="s">
        <v>16</v>
      </c>
      <c r="H5" s="33"/>
      <c r="I5" s="1">
        <v>60</v>
      </c>
      <c r="J5" s="1">
        <v>82</v>
      </c>
      <c r="K5" s="1">
        <v>100</v>
      </c>
      <c r="L5" s="1" t="s">
        <v>17</v>
      </c>
      <c r="M5" s="1">
        <v>12.7</v>
      </c>
      <c r="N5" s="3"/>
      <c r="O5" s="3"/>
    </row>
    <row r="6" spans="1:15" ht="35">
      <c r="A6" s="4" t="s">
        <v>18</v>
      </c>
      <c r="B6" s="4">
        <v>111</v>
      </c>
      <c r="C6" s="4">
        <v>4</v>
      </c>
      <c r="D6" s="4">
        <v>68</v>
      </c>
      <c r="E6" s="4">
        <v>9</v>
      </c>
      <c r="F6" s="4">
        <v>2</v>
      </c>
      <c r="G6" s="4">
        <v>18</v>
      </c>
      <c r="H6" s="4">
        <v>346</v>
      </c>
      <c r="I6" s="4">
        <f>I7</f>
        <v>2</v>
      </c>
      <c r="J6" s="4">
        <f t="shared" ref="J6:O6" si="0">J7</f>
        <v>0</v>
      </c>
      <c r="K6" s="4">
        <f t="shared" si="0"/>
        <v>0</v>
      </c>
      <c r="L6" s="4">
        <f t="shared" si="0"/>
        <v>0</v>
      </c>
      <c r="M6" s="4">
        <f t="shared" si="0"/>
        <v>0</v>
      </c>
      <c r="N6" s="4">
        <f t="shared" si="0"/>
        <v>0</v>
      </c>
      <c r="O6" s="4">
        <f t="shared" si="0"/>
        <v>0</v>
      </c>
    </row>
    <row r="7" spans="1:15" ht="18.5">
      <c r="A7" s="5" t="s">
        <v>33</v>
      </c>
      <c r="B7" s="6">
        <v>111</v>
      </c>
      <c r="C7" s="6">
        <v>4</v>
      </c>
      <c r="D7" s="6">
        <v>68</v>
      </c>
      <c r="E7" s="6">
        <v>9</v>
      </c>
      <c r="F7" s="6">
        <v>2</v>
      </c>
      <c r="G7" s="6">
        <v>18</v>
      </c>
      <c r="H7" s="6">
        <v>346</v>
      </c>
      <c r="I7" s="6">
        <v>2</v>
      </c>
      <c r="J7" s="6">
        <v>0</v>
      </c>
      <c r="K7" s="6">
        <v>0</v>
      </c>
      <c r="L7" s="6">
        <v>0</v>
      </c>
      <c r="M7" s="6">
        <v>0</v>
      </c>
      <c r="N7" s="3">
        <v>0</v>
      </c>
      <c r="O7" s="3">
        <v>0</v>
      </c>
    </row>
    <row r="8" spans="1:15" ht="35">
      <c r="A8" s="4" t="s">
        <v>34</v>
      </c>
      <c r="B8" s="4">
        <f>SUM(B9:B10)</f>
        <v>22</v>
      </c>
      <c r="C8" s="4">
        <f t="shared" ref="C8:O8" si="1">SUM(C9:C10)</f>
        <v>0</v>
      </c>
      <c r="D8" s="4">
        <f t="shared" si="1"/>
        <v>7</v>
      </c>
      <c r="E8" s="4">
        <f t="shared" si="1"/>
        <v>0</v>
      </c>
      <c r="F8" s="4">
        <f t="shared" si="1"/>
        <v>0</v>
      </c>
      <c r="G8" s="4">
        <f t="shared" si="1"/>
        <v>0</v>
      </c>
      <c r="H8" s="4">
        <f t="shared" si="1"/>
        <v>44</v>
      </c>
      <c r="I8" s="4">
        <f t="shared" si="1"/>
        <v>0</v>
      </c>
      <c r="J8" s="4">
        <f t="shared" si="1"/>
        <v>1</v>
      </c>
      <c r="K8" s="4">
        <f t="shared" si="1"/>
        <v>0</v>
      </c>
      <c r="L8" s="4">
        <f t="shared" si="1"/>
        <v>0</v>
      </c>
      <c r="M8" s="4">
        <f t="shared" si="1"/>
        <v>0</v>
      </c>
      <c r="N8" s="4">
        <f t="shared" si="1"/>
        <v>0</v>
      </c>
      <c r="O8" s="4">
        <f t="shared" si="1"/>
        <v>0</v>
      </c>
    </row>
    <row r="9" spans="1:15" ht="18.5">
      <c r="A9" s="7" t="s">
        <v>44</v>
      </c>
      <c r="B9" s="6">
        <v>17</v>
      </c>
      <c r="C9" s="6"/>
      <c r="D9" s="6">
        <v>5</v>
      </c>
      <c r="E9" s="6"/>
      <c r="F9" s="6"/>
      <c r="G9" s="6"/>
      <c r="H9" s="6">
        <v>32</v>
      </c>
      <c r="I9" s="6"/>
      <c r="J9" s="6">
        <v>1</v>
      </c>
      <c r="K9" s="6"/>
      <c r="L9" s="6"/>
      <c r="M9" s="6"/>
      <c r="N9" s="3"/>
      <c r="O9" s="3"/>
    </row>
    <row r="10" spans="1:15" ht="18">
      <c r="A10" s="12" t="s">
        <v>45</v>
      </c>
      <c r="B10" s="13">
        <v>5</v>
      </c>
      <c r="C10" s="13"/>
      <c r="D10" s="13">
        <v>2</v>
      </c>
      <c r="E10" s="13"/>
      <c r="F10" s="13"/>
      <c r="G10" s="13"/>
      <c r="H10" s="13">
        <v>12</v>
      </c>
      <c r="I10" s="13"/>
      <c r="J10" s="13"/>
      <c r="K10" s="13"/>
      <c r="L10" s="13"/>
      <c r="M10" s="13"/>
      <c r="N10" s="13"/>
      <c r="O10" s="13"/>
    </row>
    <row r="11" spans="1:15" ht="17.5">
      <c r="A11" s="10" t="s">
        <v>31</v>
      </c>
      <c r="B11" s="11">
        <f t="shared" ref="B11:O11" si="2">B7+B8</f>
        <v>133</v>
      </c>
      <c r="C11" s="11">
        <f t="shared" si="2"/>
        <v>4</v>
      </c>
      <c r="D11" s="11">
        <f t="shared" si="2"/>
        <v>75</v>
      </c>
      <c r="E11" s="11">
        <f t="shared" si="2"/>
        <v>9</v>
      </c>
      <c r="F11" s="11">
        <f t="shared" si="2"/>
        <v>2</v>
      </c>
      <c r="G11" s="11">
        <f t="shared" si="2"/>
        <v>18</v>
      </c>
      <c r="H11" s="11">
        <f t="shared" si="2"/>
        <v>390</v>
      </c>
      <c r="I11" s="11">
        <f t="shared" si="2"/>
        <v>2</v>
      </c>
      <c r="J11" s="11">
        <f t="shared" si="2"/>
        <v>1</v>
      </c>
      <c r="K11" s="11">
        <f t="shared" si="2"/>
        <v>0</v>
      </c>
      <c r="L11" s="11">
        <f t="shared" si="2"/>
        <v>0</v>
      </c>
      <c r="M11" s="11">
        <f t="shared" si="2"/>
        <v>0</v>
      </c>
      <c r="N11" s="11">
        <f t="shared" si="2"/>
        <v>0</v>
      </c>
      <c r="O11" s="11">
        <f t="shared" si="2"/>
        <v>0</v>
      </c>
    </row>
  </sheetData>
  <mergeCells count="8">
    <mergeCell ref="A1:O2"/>
    <mergeCell ref="A3:A5"/>
    <mergeCell ref="B3:B5"/>
    <mergeCell ref="C3:M3"/>
    <mergeCell ref="N3:O3"/>
    <mergeCell ref="C4:G4"/>
    <mergeCell ref="H4:H5"/>
    <mergeCell ref="I4:K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AB071-509A-4638-8468-78AE8F9AF750}">
  <dimension ref="A1:O10"/>
  <sheetViews>
    <sheetView topLeftCell="A7" workbookViewId="0">
      <selection activeCell="A6" sqref="A6"/>
    </sheetView>
  </sheetViews>
  <sheetFormatPr defaultRowHeight="14.5"/>
  <cols>
    <col min="1" max="1" width="16.1796875" customWidth="1"/>
    <col min="2" max="2" width="9.08984375" customWidth="1"/>
    <col min="14" max="14" width="14.1796875" customWidth="1"/>
    <col min="15" max="15" width="15.1796875" customWidth="1"/>
  </cols>
  <sheetData>
    <row r="1" spans="1:15">
      <c r="A1" s="32" t="s">
        <v>46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2" spans="1:1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</row>
    <row r="3" spans="1:15" ht="17.5">
      <c r="A3" s="33" t="s">
        <v>1</v>
      </c>
      <c r="B3" s="33" t="s">
        <v>2</v>
      </c>
      <c r="C3" s="33" t="s">
        <v>3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5" t="s">
        <v>4</v>
      </c>
      <c r="O3" s="35"/>
    </row>
    <row r="4" spans="1:15" ht="33">
      <c r="A4" s="33"/>
      <c r="B4" s="33"/>
      <c r="C4" s="33" t="s">
        <v>5</v>
      </c>
      <c r="D4" s="33"/>
      <c r="E4" s="33"/>
      <c r="F4" s="33"/>
      <c r="G4" s="33"/>
      <c r="H4" s="33" t="s">
        <v>6</v>
      </c>
      <c r="I4" s="33" t="s">
        <v>7</v>
      </c>
      <c r="J4" s="33"/>
      <c r="K4" s="33"/>
      <c r="L4" s="1" t="s">
        <v>8</v>
      </c>
      <c r="M4" s="1" t="s">
        <v>9</v>
      </c>
      <c r="N4" s="2" t="s">
        <v>10</v>
      </c>
      <c r="O4" s="2" t="s">
        <v>11</v>
      </c>
    </row>
    <row r="5" spans="1:15" ht="33">
      <c r="A5" s="33"/>
      <c r="B5" s="33"/>
      <c r="C5" s="1" t="s">
        <v>12</v>
      </c>
      <c r="D5" s="1" t="s">
        <v>13</v>
      </c>
      <c r="E5" s="1" t="s">
        <v>14</v>
      </c>
      <c r="F5" s="1" t="s">
        <v>15</v>
      </c>
      <c r="G5" s="1" t="s">
        <v>16</v>
      </c>
      <c r="H5" s="33"/>
      <c r="I5" s="1">
        <v>60</v>
      </c>
      <c r="J5" s="1">
        <v>82</v>
      </c>
      <c r="K5" s="1">
        <v>100</v>
      </c>
      <c r="L5" s="1" t="s">
        <v>17</v>
      </c>
      <c r="M5" s="1">
        <v>12.7</v>
      </c>
      <c r="N5" s="3"/>
      <c r="O5" s="3"/>
    </row>
    <row r="6" spans="1:15" ht="35">
      <c r="A6" s="4" t="s">
        <v>18</v>
      </c>
      <c r="B6" s="4">
        <f>B7</f>
        <v>29</v>
      </c>
      <c r="C6" s="4">
        <f t="shared" ref="C6:O6" si="0">C7</f>
        <v>0</v>
      </c>
      <c r="D6" s="4">
        <f t="shared" si="0"/>
        <v>20</v>
      </c>
      <c r="E6" s="4">
        <f t="shared" si="0"/>
        <v>3</v>
      </c>
      <c r="F6" s="4">
        <f t="shared" si="0"/>
        <v>0</v>
      </c>
      <c r="G6" s="4">
        <f t="shared" si="0"/>
        <v>6</v>
      </c>
      <c r="H6" s="4">
        <f t="shared" si="0"/>
        <v>102</v>
      </c>
      <c r="I6" s="4">
        <f t="shared" si="0"/>
        <v>0</v>
      </c>
      <c r="J6" s="4">
        <f t="shared" si="0"/>
        <v>0</v>
      </c>
      <c r="K6" s="4">
        <f t="shared" si="0"/>
        <v>0</v>
      </c>
      <c r="L6" s="4">
        <f t="shared" si="0"/>
        <v>0</v>
      </c>
      <c r="M6" s="4">
        <f t="shared" si="0"/>
        <v>0</v>
      </c>
      <c r="N6" s="4">
        <f t="shared" si="0"/>
        <v>0</v>
      </c>
      <c r="O6" s="4">
        <f t="shared" si="0"/>
        <v>0</v>
      </c>
    </row>
    <row r="7" spans="1:15" ht="18.5">
      <c r="A7" s="5" t="s">
        <v>47</v>
      </c>
      <c r="B7" s="6">
        <v>29</v>
      </c>
      <c r="C7" s="6">
        <v>0</v>
      </c>
      <c r="D7" s="6">
        <v>20</v>
      </c>
      <c r="E7" s="6">
        <v>3</v>
      </c>
      <c r="F7" s="6"/>
      <c r="G7" s="6">
        <v>6</v>
      </c>
      <c r="H7" s="6">
        <v>102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3"/>
      <c r="O7" s="3"/>
    </row>
    <row r="8" spans="1:15" ht="35">
      <c r="A8" s="4" t="s">
        <v>34</v>
      </c>
      <c r="B8" s="4">
        <f t="shared" ref="B8:I8" si="1">SUM(B9:B9)</f>
        <v>1</v>
      </c>
      <c r="C8" s="4">
        <f t="shared" si="1"/>
        <v>0</v>
      </c>
      <c r="D8" s="4">
        <f t="shared" si="1"/>
        <v>0</v>
      </c>
      <c r="E8" s="4">
        <f t="shared" si="1"/>
        <v>0</v>
      </c>
      <c r="F8" s="4">
        <f t="shared" si="1"/>
        <v>0</v>
      </c>
      <c r="G8" s="4">
        <f t="shared" si="1"/>
        <v>0</v>
      </c>
      <c r="H8" s="4">
        <f t="shared" si="1"/>
        <v>0</v>
      </c>
      <c r="I8" s="4">
        <f t="shared" si="1"/>
        <v>0</v>
      </c>
      <c r="J8" s="4">
        <v>0</v>
      </c>
      <c r="K8" s="4">
        <f>SUM(K9:K9)</f>
        <v>0</v>
      </c>
      <c r="L8" s="4">
        <f>SUM(L9:L9)</f>
        <v>0</v>
      </c>
      <c r="M8" s="4">
        <f>SUM(M9:M9)</f>
        <v>0</v>
      </c>
      <c r="N8" s="4">
        <f>SUM(N9:N9)</f>
        <v>0</v>
      </c>
      <c r="O8" s="4">
        <f>SUM(O9:O9)</f>
        <v>0</v>
      </c>
    </row>
    <row r="9" spans="1:15" ht="36">
      <c r="A9" s="7" t="s">
        <v>48</v>
      </c>
      <c r="B9" s="6">
        <v>1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3"/>
      <c r="O9" s="3"/>
    </row>
    <row r="10" spans="1:15" ht="17.5">
      <c r="A10" s="10" t="s">
        <v>31</v>
      </c>
      <c r="B10" s="11">
        <f>B8+B6</f>
        <v>30</v>
      </c>
      <c r="C10" s="11">
        <f t="shared" ref="C10:O10" si="2">C8+C6</f>
        <v>0</v>
      </c>
      <c r="D10" s="11">
        <f t="shared" si="2"/>
        <v>20</v>
      </c>
      <c r="E10" s="11">
        <f t="shared" si="2"/>
        <v>3</v>
      </c>
      <c r="F10" s="11">
        <f t="shared" si="2"/>
        <v>0</v>
      </c>
      <c r="G10" s="11">
        <f t="shared" si="2"/>
        <v>6</v>
      </c>
      <c r="H10" s="11">
        <f t="shared" si="2"/>
        <v>102</v>
      </c>
      <c r="I10" s="11">
        <f t="shared" si="2"/>
        <v>0</v>
      </c>
      <c r="J10" s="11">
        <f t="shared" si="2"/>
        <v>0</v>
      </c>
      <c r="K10" s="11">
        <f t="shared" si="2"/>
        <v>0</v>
      </c>
      <c r="L10" s="11">
        <f t="shared" si="2"/>
        <v>0</v>
      </c>
      <c r="M10" s="11">
        <f t="shared" si="2"/>
        <v>0</v>
      </c>
      <c r="N10" s="11">
        <f t="shared" si="2"/>
        <v>0</v>
      </c>
      <c r="O10" s="11">
        <f t="shared" si="2"/>
        <v>0</v>
      </c>
    </row>
  </sheetData>
  <mergeCells count="8">
    <mergeCell ref="A1:O2"/>
    <mergeCell ref="A3:A5"/>
    <mergeCell ref="B3:B5"/>
    <mergeCell ref="C3:M3"/>
    <mergeCell ref="N3:O3"/>
    <mergeCell ref="C4:G4"/>
    <mergeCell ref="H4:H5"/>
    <mergeCell ref="I4:K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9F5C4-ED32-40D0-A27C-314A20166AB0}">
  <dimension ref="A1:O19"/>
  <sheetViews>
    <sheetView tabSelected="1" workbookViewId="0">
      <selection activeCell="J8" sqref="J8"/>
    </sheetView>
  </sheetViews>
  <sheetFormatPr defaultRowHeight="14.5"/>
  <cols>
    <col min="1" max="1" width="14.1796875" customWidth="1"/>
    <col min="2" max="2" width="12.7265625" customWidth="1"/>
    <col min="14" max="14" width="15.08984375" customWidth="1"/>
    <col min="15" max="15" width="15.1796875" customWidth="1"/>
  </cols>
  <sheetData>
    <row r="1" spans="1:15">
      <c r="A1" s="32" t="s">
        <v>49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2" spans="1:1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</row>
    <row r="3" spans="1:15" ht="17.5">
      <c r="A3" s="33" t="s">
        <v>1</v>
      </c>
      <c r="B3" s="33" t="s">
        <v>2</v>
      </c>
      <c r="C3" s="33" t="s">
        <v>3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5" t="s">
        <v>4</v>
      </c>
      <c r="O3" s="35"/>
    </row>
    <row r="4" spans="1:15" ht="33">
      <c r="A4" s="33"/>
      <c r="B4" s="33"/>
      <c r="C4" s="33" t="s">
        <v>5</v>
      </c>
      <c r="D4" s="33"/>
      <c r="E4" s="33"/>
      <c r="F4" s="33"/>
      <c r="G4" s="33"/>
      <c r="H4" s="33" t="s">
        <v>6</v>
      </c>
      <c r="I4" s="33" t="s">
        <v>7</v>
      </c>
      <c r="J4" s="33"/>
      <c r="K4" s="33"/>
      <c r="L4" s="1" t="s">
        <v>8</v>
      </c>
      <c r="M4" s="1" t="s">
        <v>9</v>
      </c>
      <c r="N4" s="2" t="s">
        <v>10</v>
      </c>
      <c r="O4" s="2" t="s">
        <v>11</v>
      </c>
    </row>
    <row r="5" spans="1:15" ht="33">
      <c r="A5" s="33"/>
      <c r="B5" s="33"/>
      <c r="C5" s="1" t="s">
        <v>12</v>
      </c>
      <c r="D5" s="1" t="s">
        <v>13</v>
      </c>
      <c r="E5" s="1" t="s">
        <v>14</v>
      </c>
      <c r="F5" s="1" t="s">
        <v>15</v>
      </c>
      <c r="G5" s="1" t="s">
        <v>16</v>
      </c>
      <c r="H5" s="33"/>
      <c r="I5" s="1">
        <v>60</v>
      </c>
      <c r="J5" s="1">
        <v>82</v>
      </c>
      <c r="K5" s="1">
        <v>100</v>
      </c>
      <c r="L5" s="1" t="s">
        <v>17</v>
      </c>
      <c r="M5" s="1">
        <v>12.7</v>
      </c>
      <c r="N5" s="3"/>
      <c r="O5" s="3"/>
    </row>
    <row r="6" spans="1:15" ht="35">
      <c r="A6" s="4" t="s">
        <v>18</v>
      </c>
      <c r="B6" s="4" t="e">
        <f>B7</f>
        <v>#REF!</v>
      </c>
      <c r="C6" s="4" t="e">
        <f>C7</f>
        <v>#REF!</v>
      </c>
      <c r="D6" s="4" t="e">
        <f t="shared" ref="D6:O6" si="0">D7</f>
        <v>#REF!</v>
      </c>
      <c r="E6" s="4" t="e">
        <f t="shared" si="0"/>
        <v>#REF!</v>
      </c>
      <c r="F6" s="4" t="e">
        <f t="shared" si="0"/>
        <v>#REF!</v>
      </c>
      <c r="G6" s="4" t="e">
        <f t="shared" si="0"/>
        <v>#REF!</v>
      </c>
      <c r="H6" s="4" t="e">
        <f t="shared" si="0"/>
        <v>#REF!</v>
      </c>
      <c r="I6" s="4" t="e">
        <f t="shared" si="0"/>
        <v>#REF!</v>
      </c>
      <c r="J6" s="4" t="e">
        <f t="shared" si="0"/>
        <v>#REF!</v>
      </c>
      <c r="K6" s="4" t="e">
        <f t="shared" si="0"/>
        <v>#REF!</v>
      </c>
      <c r="L6" s="4" t="e">
        <f t="shared" si="0"/>
        <v>#REF!</v>
      </c>
      <c r="M6" s="4" t="e">
        <f t="shared" si="0"/>
        <v>#REF!</v>
      </c>
      <c r="N6" s="4" t="e">
        <f t="shared" si="0"/>
        <v>#REF!</v>
      </c>
      <c r="O6" s="4" t="e">
        <f t="shared" si="0"/>
        <v>#REF!</v>
      </c>
    </row>
    <row r="7" spans="1:15" ht="35">
      <c r="A7" s="14" t="s">
        <v>50</v>
      </c>
      <c r="B7" s="14" t="e">
        <f>#REF!-#REF!-#REF!-#REF!</f>
        <v>#REF!</v>
      </c>
      <c r="C7" s="14" t="e">
        <f t="shared" ref="C7" si="1">#REF!-#REF!-#REF!-#REF!</f>
        <v>#REF!</v>
      </c>
      <c r="D7" s="14" t="e">
        <f t="shared" ref="D7" si="2">#REF!-#REF!-#REF!-#REF!</f>
        <v>#REF!</v>
      </c>
      <c r="E7" s="14" t="e">
        <f t="shared" ref="E7" si="3">#REF!-#REF!-#REF!-#REF!</f>
        <v>#REF!</v>
      </c>
      <c r="F7" s="14" t="e">
        <f t="shared" ref="F7" si="4">#REF!-#REF!-#REF!-#REF!</f>
        <v>#REF!</v>
      </c>
      <c r="G7" s="14" t="e">
        <f t="shared" ref="G7" si="5">#REF!-#REF!-#REF!-#REF!</f>
        <v>#REF!</v>
      </c>
      <c r="H7" s="14" t="e">
        <f t="shared" ref="H7" si="6">#REF!-#REF!-#REF!-#REF!</f>
        <v>#REF!</v>
      </c>
      <c r="I7" s="14" t="e">
        <f t="shared" ref="I7" si="7">#REF!-#REF!-#REF!-#REF!</f>
        <v>#REF!</v>
      </c>
      <c r="J7" s="14" t="e">
        <f t="shared" ref="J7" si="8">#REF!-#REF!-#REF!-#REF!</f>
        <v>#REF!</v>
      </c>
      <c r="K7" s="14" t="e">
        <f t="shared" ref="K7" si="9">#REF!-#REF!-#REF!-#REF!</f>
        <v>#REF!</v>
      </c>
      <c r="L7" s="14" t="e">
        <f t="shared" ref="L7" si="10">#REF!-#REF!-#REF!-#REF!</f>
        <v>#REF!</v>
      </c>
      <c r="M7" s="14" t="e">
        <f t="shared" ref="M7" si="11">#REF!-#REF!-#REF!-#REF!</f>
        <v>#REF!</v>
      </c>
      <c r="N7" s="14" t="e">
        <f t="shared" ref="N7" si="12">#REF!-#REF!-#REF!-#REF!</f>
        <v>#REF!</v>
      </c>
      <c r="O7" s="14" t="e">
        <f t="shared" ref="O7" si="13">#REF!-#REF!-#REF!-#REF!</f>
        <v>#REF!</v>
      </c>
    </row>
    <row r="8" spans="1:15" ht="52.5">
      <c r="A8" s="4" t="s">
        <v>51</v>
      </c>
      <c r="B8" s="4">
        <f>SUM(B9:B18)</f>
        <v>335</v>
      </c>
      <c r="C8" s="4">
        <f t="shared" ref="C8:O8" si="14">SUM(C9:C18)</f>
        <v>14</v>
      </c>
      <c r="D8" s="4">
        <f t="shared" si="14"/>
        <v>150</v>
      </c>
      <c r="E8" s="4">
        <f t="shared" si="14"/>
        <v>0</v>
      </c>
      <c r="F8" s="4">
        <f t="shared" si="14"/>
        <v>0</v>
      </c>
      <c r="G8" s="4">
        <f t="shared" si="14"/>
        <v>0</v>
      </c>
      <c r="H8" s="4">
        <f t="shared" si="14"/>
        <v>629</v>
      </c>
      <c r="I8" s="4">
        <f t="shared" si="14"/>
        <v>0</v>
      </c>
      <c r="J8" s="4">
        <f t="shared" si="14"/>
        <v>0</v>
      </c>
      <c r="K8" s="4">
        <f t="shared" si="14"/>
        <v>4</v>
      </c>
      <c r="L8" s="4">
        <f t="shared" si="14"/>
        <v>6</v>
      </c>
      <c r="M8" s="4">
        <f t="shared" si="14"/>
        <v>6</v>
      </c>
      <c r="N8" s="4">
        <f t="shared" si="14"/>
        <v>0</v>
      </c>
      <c r="O8" s="4">
        <f t="shared" si="14"/>
        <v>0</v>
      </c>
    </row>
    <row r="9" spans="1:15" ht="18.5">
      <c r="A9" s="7" t="s">
        <v>52</v>
      </c>
      <c r="B9" s="6">
        <v>74</v>
      </c>
      <c r="C9" s="6">
        <v>4</v>
      </c>
      <c r="D9" s="6">
        <v>30</v>
      </c>
      <c r="E9" s="6"/>
      <c r="F9" s="6"/>
      <c r="G9" s="6"/>
      <c r="H9" s="6">
        <v>139</v>
      </c>
      <c r="I9" s="6"/>
      <c r="J9" s="6"/>
      <c r="K9" s="6">
        <v>4</v>
      </c>
      <c r="L9" s="6"/>
      <c r="M9" s="6"/>
      <c r="N9" s="3"/>
      <c r="O9" s="3"/>
    </row>
    <row r="10" spans="1:15" ht="18.5">
      <c r="A10" s="7" t="s">
        <v>22</v>
      </c>
      <c r="B10" s="6">
        <v>69</v>
      </c>
      <c r="C10" s="6">
        <v>4</v>
      </c>
      <c r="D10" s="6">
        <v>26</v>
      </c>
      <c r="E10" s="6"/>
      <c r="F10" s="6"/>
      <c r="G10" s="6"/>
      <c r="H10" s="6">
        <v>130</v>
      </c>
      <c r="I10" s="6"/>
      <c r="J10" s="6"/>
      <c r="K10" s="6"/>
      <c r="L10" s="6">
        <v>6</v>
      </c>
      <c r="M10" s="6"/>
      <c r="N10" s="3"/>
      <c r="O10" s="3"/>
    </row>
    <row r="11" spans="1:15" ht="36">
      <c r="A11" s="7" t="s">
        <v>23</v>
      </c>
      <c r="B11" s="6">
        <v>82</v>
      </c>
      <c r="C11" s="6">
        <v>4</v>
      </c>
      <c r="D11" s="6">
        <v>26</v>
      </c>
      <c r="E11" s="6"/>
      <c r="F11" s="6"/>
      <c r="G11" s="6"/>
      <c r="H11" s="6">
        <v>156</v>
      </c>
      <c r="I11" s="6"/>
      <c r="J11" s="6"/>
      <c r="K11" s="6"/>
      <c r="L11" s="6"/>
      <c r="M11" s="6">
        <v>6</v>
      </c>
      <c r="N11" s="3"/>
      <c r="O11" s="3"/>
    </row>
    <row r="12" spans="1:15" ht="18.5">
      <c r="A12" s="7" t="s">
        <v>24</v>
      </c>
      <c r="B12" s="6">
        <v>28</v>
      </c>
      <c r="C12" s="6"/>
      <c r="D12" s="6">
        <v>10</v>
      </c>
      <c r="E12" s="6"/>
      <c r="F12" s="6"/>
      <c r="G12" s="6"/>
      <c r="H12" s="6">
        <v>56</v>
      </c>
      <c r="I12" s="6"/>
      <c r="J12" s="6"/>
      <c r="K12" s="6"/>
      <c r="L12" s="6"/>
      <c r="M12" s="6"/>
      <c r="N12" s="3"/>
      <c r="O12" s="3"/>
    </row>
    <row r="13" spans="1:15" ht="18.5">
      <c r="A13" s="8" t="s">
        <v>25</v>
      </c>
      <c r="B13" s="9">
        <v>3</v>
      </c>
      <c r="C13" s="9"/>
      <c r="D13" s="9">
        <v>0</v>
      </c>
      <c r="E13" s="9"/>
      <c r="F13" s="9"/>
      <c r="G13" s="9"/>
      <c r="H13" s="9">
        <v>0</v>
      </c>
      <c r="I13" s="9"/>
      <c r="J13" s="9"/>
      <c r="K13" s="9"/>
      <c r="L13" s="9"/>
      <c r="M13" s="9"/>
      <c r="N13" s="3"/>
      <c r="O13" s="3"/>
    </row>
    <row r="14" spans="1:15" ht="18.5">
      <c r="A14" s="8" t="s">
        <v>26</v>
      </c>
      <c r="B14" s="9">
        <v>9</v>
      </c>
      <c r="C14" s="9"/>
      <c r="D14" s="9">
        <v>2</v>
      </c>
      <c r="E14" s="9"/>
      <c r="F14" s="9"/>
      <c r="G14" s="9"/>
      <c r="H14" s="9">
        <v>8</v>
      </c>
      <c r="I14" s="9"/>
      <c r="J14" s="9"/>
      <c r="K14" s="9"/>
      <c r="L14" s="9"/>
      <c r="M14" s="9"/>
      <c r="N14" s="3"/>
      <c r="O14" s="3"/>
    </row>
    <row r="15" spans="1:15" ht="18.5">
      <c r="A15" s="8" t="s">
        <v>27</v>
      </c>
      <c r="B15" s="9">
        <v>26</v>
      </c>
      <c r="C15" s="9">
        <v>2</v>
      </c>
      <c r="D15" s="9">
        <v>24</v>
      </c>
      <c r="E15" s="9"/>
      <c r="F15" s="9"/>
      <c r="G15" s="9"/>
      <c r="H15" s="9">
        <v>52</v>
      </c>
      <c r="I15" s="9"/>
      <c r="J15" s="9"/>
      <c r="K15" s="9"/>
      <c r="L15" s="9"/>
      <c r="M15" s="9"/>
      <c r="N15" s="3"/>
      <c r="O15" s="3"/>
    </row>
    <row r="16" spans="1:15" ht="18.5">
      <c r="A16" s="7" t="s">
        <v>28</v>
      </c>
      <c r="B16" s="6">
        <v>32</v>
      </c>
      <c r="C16" s="6"/>
      <c r="D16" s="6">
        <v>22</v>
      </c>
      <c r="E16" s="6"/>
      <c r="F16" s="6"/>
      <c r="G16" s="6"/>
      <c r="H16" s="6">
        <v>64</v>
      </c>
      <c r="I16" s="6"/>
      <c r="J16" s="6"/>
      <c r="K16" s="6"/>
      <c r="L16" s="6"/>
      <c r="M16" s="6"/>
      <c r="N16" s="3"/>
      <c r="O16" s="3"/>
    </row>
    <row r="17" spans="1:15" ht="18.5">
      <c r="A17" s="7" t="s">
        <v>29</v>
      </c>
      <c r="B17" s="6">
        <v>3</v>
      </c>
      <c r="C17" s="6"/>
      <c r="D17" s="6">
        <v>1</v>
      </c>
      <c r="E17" s="6"/>
      <c r="F17" s="6"/>
      <c r="G17" s="6"/>
      <c r="H17" s="6">
        <v>6</v>
      </c>
      <c r="I17" s="6"/>
      <c r="J17" s="6"/>
      <c r="K17" s="6"/>
      <c r="L17" s="6"/>
      <c r="M17" s="6"/>
      <c r="N17" s="3"/>
      <c r="O17" s="3"/>
    </row>
    <row r="18" spans="1:15" ht="18.5">
      <c r="A18" s="7" t="s">
        <v>53</v>
      </c>
      <c r="B18" s="6">
        <v>9</v>
      </c>
      <c r="C18" s="6"/>
      <c r="D18" s="6">
        <v>9</v>
      </c>
      <c r="E18" s="6"/>
      <c r="F18" s="6"/>
      <c r="G18" s="6"/>
      <c r="H18" s="6">
        <v>18</v>
      </c>
      <c r="I18" s="6"/>
      <c r="J18" s="6"/>
      <c r="K18" s="6"/>
      <c r="L18" s="6"/>
      <c r="M18" s="6"/>
      <c r="N18" s="3"/>
      <c r="O18" s="3"/>
    </row>
    <row r="19" spans="1:15" ht="17.5">
      <c r="A19" s="10" t="s">
        <v>31</v>
      </c>
      <c r="B19" s="11" t="e">
        <f>B7+B8</f>
        <v>#REF!</v>
      </c>
      <c r="C19" s="11" t="e">
        <f t="shared" ref="C19:O19" si="15">C7+C8</f>
        <v>#REF!</v>
      </c>
      <c r="D19" s="11" t="e">
        <f t="shared" si="15"/>
        <v>#REF!</v>
      </c>
      <c r="E19" s="11" t="e">
        <f t="shared" si="15"/>
        <v>#REF!</v>
      </c>
      <c r="F19" s="11" t="e">
        <f t="shared" si="15"/>
        <v>#REF!</v>
      </c>
      <c r="G19" s="11" t="e">
        <f t="shared" si="15"/>
        <v>#REF!</v>
      </c>
      <c r="H19" s="11" t="e">
        <f>H7+H8</f>
        <v>#REF!</v>
      </c>
      <c r="I19" s="11" t="e">
        <f t="shared" si="15"/>
        <v>#REF!</v>
      </c>
      <c r="J19" s="11" t="e">
        <f t="shared" si="15"/>
        <v>#REF!</v>
      </c>
      <c r="K19" s="11" t="e">
        <f t="shared" si="15"/>
        <v>#REF!</v>
      </c>
      <c r="L19" s="11" t="e">
        <f t="shared" si="15"/>
        <v>#REF!</v>
      </c>
      <c r="M19" s="11" t="e">
        <f t="shared" si="15"/>
        <v>#REF!</v>
      </c>
      <c r="N19" s="11" t="e">
        <f t="shared" si="15"/>
        <v>#REF!</v>
      </c>
      <c r="O19" s="11" t="e">
        <f t="shared" si="15"/>
        <v>#REF!</v>
      </c>
    </row>
  </sheetData>
  <mergeCells count="8">
    <mergeCell ref="A1:O2"/>
    <mergeCell ref="A3:A5"/>
    <mergeCell ref="B3:B5"/>
    <mergeCell ref="C3:M3"/>
    <mergeCell ref="N3:O3"/>
    <mergeCell ref="C4:G4"/>
    <mergeCell ref="H4:H5"/>
    <mergeCell ref="I4:K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2DEA2-144B-449F-BE2E-E569AC4C7928}">
  <dimension ref="A1:E18"/>
  <sheetViews>
    <sheetView workbookViewId="0">
      <selection activeCell="A3" sqref="A3"/>
    </sheetView>
  </sheetViews>
  <sheetFormatPr defaultRowHeight="14.5"/>
  <cols>
    <col min="1" max="1" width="13.90625" customWidth="1"/>
    <col min="2" max="2" width="12.81640625" customWidth="1"/>
    <col min="3" max="3" width="10.36328125" customWidth="1"/>
    <col min="5" max="5" width="12.453125" customWidth="1"/>
  </cols>
  <sheetData>
    <row r="1" spans="1:5" ht="18">
      <c r="A1" s="15"/>
      <c r="B1" s="16" t="s">
        <v>54</v>
      </c>
      <c r="C1" s="17" t="s">
        <v>55</v>
      </c>
      <c r="D1" s="18" t="s">
        <v>56</v>
      </c>
      <c r="E1" s="17" t="s">
        <v>57</v>
      </c>
    </row>
    <row r="2" spans="1:5" ht="18">
      <c r="A2" s="16" t="s">
        <v>12</v>
      </c>
      <c r="B2" s="19">
        <f>Sheet1!C19</f>
        <v>36</v>
      </c>
      <c r="C2" s="20">
        <v>1.4E-2</v>
      </c>
      <c r="D2" s="21">
        <v>24</v>
      </c>
      <c r="E2" s="20">
        <f>B2*C2*D2/1000</f>
        <v>1.2096000000000001E-2</v>
      </c>
    </row>
    <row r="3" spans="1:5" ht="18">
      <c r="A3" s="16" t="s">
        <v>13</v>
      </c>
      <c r="B3" s="19">
        <f>Sheet1!D19</f>
        <v>439</v>
      </c>
      <c r="C3" s="20">
        <v>2.1999999999999999E-2</v>
      </c>
      <c r="D3" s="21">
        <v>300</v>
      </c>
      <c r="E3" s="20">
        <f t="shared" ref="E3:E6" si="0">B3*C3*D3/1000</f>
        <v>2.8973999999999998</v>
      </c>
    </row>
    <row r="4" spans="1:5" ht="18">
      <c r="A4" s="16" t="s">
        <v>14</v>
      </c>
      <c r="B4" s="19">
        <f>Sheet1!E19</f>
        <v>27</v>
      </c>
      <c r="C4" s="20">
        <v>2.1999999999999999E-2</v>
      </c>
      <c r="D4" s="21">
        <v>600</v>
      </c>
      <c r="E4" s="20">
        <f t="shared" si="0"/>
        <v>0.35639999999999999</v>
      </c>
    </row>
    <row r="5" spans="1:5" ht="18">
      <c r="A5" s="16" t="s">
        <v>15</v>
      </c>
      <c r="B5" s="19">
        <f>Sheet1!F19</f>
        <v>6</v>
      </c>
      <c r="C5" s="20">
        <v>3.3000000000000002E-2</v>
      </c>
      <c r="D5" s="21">
        <v>1200</v>
      </c>
      <c r="E5" s="20">
        <f t="shared" si="0"/>
        <v>0.23760000000000003</v>
      </c>
    </row>
    <row r="6" spans="1:5" ht="18">
      <c r="A6" s="16" t="s">
        <v>58</v>
      </c>
      <c r="B6" s="19">
        <f>Sheet1!G19</f>
        <v>54</v>
      </c>
      <c r="C6" s="20">
        <v>5.5</v>
      </c>
      <c r="D6" s="21">
        <v>12</v>
      </c>
      <c r="E6" s="20">
        <f t="shared" si="0"/>
        <v>3.5640000000000001</v>
      </c>
    </row>
    <row r="7" spans="1:5" ht="17.5">
      <c r="A7" s="36" t="s">
        <v>59</v>
      </c>
      <c r="B7" s="36"/>
      <c r="C7" s="36"/>
      <c r="D7" s="36"/>
      <c r="E7" s="22">
        <f>SUM(E2:E6)</f>
        <v>7.0674960000000002</v>
      </c>
    </row>
    <row r="8" spans="1:5" ht="18">
      <c r="A8" s="16" t="s">
        <v>60</v>
      </c>
      <c r="B8" s="19">
        <f>Sheet1!I19</f>
        <v>6</v>
      </c>
      <c r="C8" s="23">
        <v>2.1</v>
      </c>
      <c r="D8" s="21">
        <v>80</v>
      </c>
      <c r="E8" s="20">
        <f>D8*C8*B8/1000</f>
        <v>1.008</v>
      </c>
    </row>
    <row r="9" spans="1:5" ht="18">
      <c r="A9" s="16" t="s">
        <v>61</v>
      </c>
      <c r="B9" s="19">
        <f>Sheet1!J19</f>
        <v>4</v>
      </c>
      <c r="C9" s="23">
        <v>5</v>
      </c>
      <c r="D9" s="21">
        <v>100</v>
      </c>
      <c r="E9" s="20">
        <f t="shared" ref="E9:E11" si="1">D9*C9*B9/1000</f>
        <v>2</v>
      </c>
    </row>
    <row r="10" spans="1:5" ht="18">
      <c r="A10" s="16" t="s">
        <v>62</v>
      </c>
      <c r="B10" s="19">
        <f>Sheet1!K19</f>
        <v>4</v>
      </c>
      <c r="C10" s="23">
        <v>23</v>
      </c>
      <c r="D10" s="21">
        <v>80</v>
      </c>
      <c r="E10" s="20">
        <f t="shared" si="1"/>
        <v>7.36</v>
      </c>
    </row>
    <row r="11" spans="1:5" ht="18">
      <c r="A11" s="16" t="s">
        <v>17</v>
      </c>
      <c r="B11" s="19">
        <f>Sheet1!L19</f>
        <v>9</v>
      </c>
      <c r="C11" s="23">
        <v>16.5</v>
      </c>
      <c r="D11" s="21">
        <v>30</v>
      </c>
      <c r="E11" s="20">
        <f t="shared" si="1"/>
        <v>4.4550000000000001</v>
      </c>
    </row>
    <row r="12" spans="1:5" ht="17.5">
      <c r="A12" s="37" t="s">
        <v>63</v>
      </c>
      <c r="B12" s="38"/>
      <c r="C12" s="38"/>
      <c r="D12" s="39"/>
      <c r="E12" s="22">
        <f>SUM(E8:E11)</f>
        <v>14.823</v>
      </c>
    </row>
    <row r="13" spans="1:5" ht="18">
      <c r="A13" s="16" t="s">
        <v>64</v>
      </c>
      <c r="B13" s="19">
        <f>Sheet1!M19</f>
        <v>9</v>
      </c>
      <c r="C13" s="20">
        <v>0.17</v>
      </c>
      <c r="D13" s="21">
        <v>1200</v>
      </c>
      <c r="E13" s="20">
        <f>B13*C13*D13/1000</f>
        <v>1.8360000000000001</v>
      </c>
    </row>
    <row r="14" spans="1:5" ht="17.5">
      <c r="A14" s="40" t="s">
        <v>65</v>
      </c>
      <c r="B14" s="41"/>
      <c r="C14" s="41"/>
      <c r="D14" s="42"/>
      <c r="E14" s="24">
        <f>E13</f>
        <v>1.8360000000000001</v>
      </c>
    </row>
    <row r="15" spans="1:5" ht="18">
      <c r="A15" s="25" t="s">
        <v>6</v>
      </c>
      <c r="B15" s="26">
        <f>Sheet1!H19</f>
        <v>2073</v>
      </c>
      <c r="C15" s="27">
        <v>0.75</v>
      </c>
      <c r="D15" s="28"/>
      <c r="E15" s="29">
        <f>C15*B15/1000</f>
        <v>1.5547500000000001</v>
      </c>
    </row>
    <row r="16" spans="1:5" ht="17.5">
      <c r="A16" s="40" t="s">
        <v>66</v>
      </c>
      <c r="B16" s="41"/>
      <c r="C16" s="41"/>
      <c r="D16" s="42"/>
      <c r="E16" s="24">
        <f>E15</f>
        <v>1.5547500000000001</v>
      </c>
    </row>
    <row r="17" spans="1:5" ht="18">
      <c r="A17" s="25" t="s">
        <v>67</v>
      </c>
      <c r="B17" s="26"/>
      <c r="C17" s="27"/>
      <c r="D17" s="28"/>
      <c r="E17" s="29">
        <v>0</v>
      </c>
    </row>
    <row r="18" spans="1:5" ht="17.5">
      <c r="A18" s="40" t="s">
        <v>68</v>
      </c>
      <c r="B18" s="41"/>
      <c r="C18" s="41"/>
      <c r="D18" s="42"/>
      <c r="E18" s="24">
        <v>0</v>
      </c>
    </row>
  </sheetData>
  <mergeCells count="5">
    <mergeCell ref="A7:D7"/>
    <mergeCell ref="A12:D12"/>
    <mergeCell ref="A14:D14"/>
    <mergeCell ref="A16:D16"/>
    <mergeCell ref="A18:D1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25128-12AB-402D-BBD3-AD3795682E35}">
  <dimension ref="A1:E18"/>
  <sheetViews>
    <sheetView topLeftCell="A7" zoomScale="85" zoomScaleNormal="85" workbookViewId="0">
      <selection activeCell="C17" sqref="C17"/>
    </sheetView>
  </sheetViews>
  <sheetFormatPr defaultRowHeight="14.5"/>
  <cols>
    <col min="2" max="2" width="14.54296875" customWidth="1"/>
    <col min="3" max="3" width="15.26953125" customWidth="1"/>
    <col min="4" max="4" width="12.81640625" customWidth="1"/>
    <col min="5" max="5" width="11.54296875" customWidth="1"/>
  </cols>
  <sheetData>
    <row r="1" spans="1:5" ht="18">
      <c r="A1" s="15"/>
      <c r="B1" s="16" t="s">
        <v>54</v>
      </c>
      <c r="C1" s="17" t="s">
        <v>55</v>
      </c>
      <c r="D1" s="18" t="s">
        <v>56</v>
      </c>
      <c r="E1" s="17" t="s">
        <v>57</v>
      </c>
    </row>
    <row r="2" spans="1:5" ht="18">
      <c r="A2" s="16" t="s">
        <v>12</v>
      </c>
      <c r="B2" s="21">
        <f>Sheet2!C17</f>
        <v>12</v>
      </c>
      <c r="C2" s="20">
        <v>1.4E-2</v>
      </c>
      <c r="D2" s="21">
        <v>24</v>
      </c>
      <c r="E2" s="20">
        <f>B2*C2*D2/1000</f>
        <v>4.032E-3</v>
      </c>
    </row>
    <row r="3" spans="1:5" ht="18">
      <c r="A3" s="16" t="s">
        <v>13</v>
      </c>
      <c r="B3" s="21">
        <f>Sheet2!D17</f>
        <v>157</v>
      </c>
      <c r="C3" s="20">
        <v>2.1999999999999999E-2</v>
      </c>
      <c r="D3" s="21">
        <v>300</v>
      </c>
      <c r="E3" s="20">
        <f>B3*C3*D3/1000</f>
        <v>1.0361999999999998</v>
      </c>
    </row>
    <row r="4" spans="1:5" ht="18">
      <c r="A4" s="16" t="s">
        <v>14</v>
      </c>
      <c r="B4" s="21">
        <f>Sheet2!E17</f>
        <v>15</v>
      </c>
      <c r="C4" s="20">
        <v>2.1999999999999999E-2</v>
      </c>
      <c r="D4" s="21">
        <v>600</v>
      </c>
      <c r="E4" s="20">
        <f>B4*C4*D4/1000</f>
        <v>0.19799999999999998</v>
      </c>
    </row>
    <row r="5" spans="1:5" ht="18">
      <c r="A5" s="16" t="s">
        <v>15</v>
      </c>
      <c r="B5" s="21">
        <f>Sheet2!F17</f>
        <v>4</v>
      </c>
      <c r="C5" s="20">
        <v>3.3000000000000002E-2</v>
      </c>
      <c r="D5" s="21">
        <v>1200</v>
      </c>
      <c r="E5" s="20">
        <f>B5*C5*D5/1000</f>
        <v>0.15840000000000001</v>
      </c>
    </row>
    <row r="6" spans="1:5" ht="18">
      <c r="A6" s="16" t="s">
        <v>58</v>
      </c>
      <c r="B6" s="21">
        <f>Sheet2!G17</f>
        <v>30</v>
      </c>
      <c r="C6" s="20">
        <v>5.5</v>
      </c>
      <c r="D6" s="21">
        <v>12</v>
      </c>
      <c r="E6" s="20">
        <f>B6*C6*D6/1000</f>
        <v>1.98</v>
      </c>
    </row>
    <row r="7" spans="1:5" ht="17.5">
      <c r="A7" s="36" t="s">
        <v>59</v>
      </c>
      <c r="B7" s="36"/>
      <c r="C7" s="36"/>
      <c r="D7" s="36"/>
      <c r="E7" s="22">
        <f>SUM(E2:E6)</f>
        <v>3.3766319999999999</v>
      </c>
    </row>
    <row r="8" spans="1:5" ht="18">
      <c r="A8" s="16" t="s">
        <v>60</v>
      </c>
      <c r="B8" s="21">
        <f>Sheet2!I17</f>
        <v>4</v>
      </c>
      <c r="C8" s="20">
        <v>2.1</v>
      </c>
      <c r="D8" s="21">
        <v>80</v>
      </c>
      <c r="E8" s="20">
        <f>D8*C8*B8/1000</f>
        <v>0.67200000000000004</v>
      </c>
    </row>
    <row r="9" spans="1:5" ht="18">
      <c r="A9" s="16" t="s">
        <v>61</v>
      </c>
      <c r="B9" s="21">
        <f>Sheet2!J17</f>
        <v>3</v>
      </c>
      <c r="C9" s="20">
        <v>5</v>
      </c>
      <c r="D9" s="21">
        <v>100</v>
      </c>
      <c r="E9" s="20">
        <f>D9*C9*B9/1000</f>
        <v>1.5</v>
      </c>
    </row>
    <row r="10" spans="1:5" ht="18">
      <c r="A10" s="16" t="s">
        <v>62</v>
      </c>
      <c r="B10" s="21">
        <f>Sheet2!K17</f>
        <v>0</v>
      </c>
      <c r="C10" s="20">
        <v>23</v>
      </c>
      <c r="D10" s="21">
        <v>80</v>
      </c>
      <c r="E10" s="20">
        <f>D10*C10*B10/1000</f>
        <v>0</v>
      </c>
    </row>
    <row r="11" spans="1:5" ht="18">
      <c r="A11" s="16" t="s">
        <v>17</v>
      </c>
      <c r="B11" s="21">
        <f>Sheet2!L17</f>
        <v>3</v>
      </c>
      <c r="C11" s="20">
        <v>16.5</v>
      </c>
      <c r="D11" s="21">
        <v>30</v>
      </c>
      <c r="E11" s="20">
        <f>D11*C11*B11/1000</f>
        <v>1.4850000000000001</v>
      </c>
    </row>
    <row r="12" spans="1:5" ht="17.5">
      <c r="A12" s="37" t="s">
        <v>63</v>
      </c>
      <c r="B12" s="38"/>
      <c r="C12" s="38"/>
      <c r="D12" s="39"/>
      <c r="E12" s="22">
        <f>SUM(E8:E11)</f>
        <v>3.657</v>
      </c>
    </row>
    <row r="13" spans="1:5" ht="18">
      <c r="A13" s="16" t="s">
        <v>64</v>
      </c>
      <c r="B13" s="21">
        <f>Sheet2!M17</f>
        <v>3</v>
      </c>
      <c r="C13" s="20">
        <v>0.17</v>
      </c>
      <c r="D13" s="21">
        <v>1200</v>
      </c>
      <c r="E13" s="20">
        <f>B13*C13*D13/1000</f>
        <v>0.61199999999999999</v>
      </c>
    </row>
    <row r="14" spans="1:5" ht="17.5">
      <c r="A14" s="40" t="s">
        <v>65</v>
      </c>
      <c r="B14" s="41"/>
      <c r="C14" s="41"/>
      <c r="D14" s="42"/>
      <c r="E14" s="24">
        <f>E13</f>
        <v>0.61199999999999999</v>
      </c>
    </row>
    <row r="15" spans="1:5" ht="18">
      <c r="A15" s="30" t="s">
        <v>6</v>
      </c>
      <c r="B15" s="31">
        <f>Sheet2!H17</f>
        <v>822</v>
      </c>
      <c r="C15" s="27">
        <v>0.75</v>
      </c>
      <c r="D15" s="28"/>
      <c r="E15" s="29">
        <f>C15*B15/1000</f>
        <v>0.61650000000000005</v>
      </c>
    </row>
    <row r="16" spans="1:5" ht="17.5">
      <c r="A16" s="40" t="s">
        <v>66</v>
      </c>
      <c r="B16" s="41"/>
      <c r="C16" s="41"/>
      <c r="D16" s="42"/>
      <c r="E16" s="24">
        <f>E15</f>
        <v>0.61650000000000005</v>
      </c>
    </row>
    <row r="17" spans="1:5" ht="18">
      <c r="A17" s="30" t="s">
        <v>67</v>
      </c>
      <c r="B17" s="31"/>
      <c r="C17" s="27"/>
      <c r="D17" s="28"/>
      <c r="E17" s="29">
        <v>0</v>
      </c>
    </row>
    <row r="18" spans="1:5" ht="17.5">
      <c r="A18" s="40" t="s">
        <v>68</v>
      </c>
      <c r="B18" s="41"/>
      <c r="C18" s="41"/>
      <c r="D18" s="42"/>
      <c r="E18" s="24">
        <v>0</v>
      </c>
    </row>
  </sheetData>
  <mergeCells count="5">
    <mergeCell ref="A7:D7"/>
    <mergeCell ref="A12:D12"/>
    <mergeCell ref="A14:D14"/>
    <mergeCell ref="A16:D16"/>
    <mergeCell ref="A18:D1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6C6BE-B739-4E04-B0A6-9776C2F546D5}">
  <dimension ref="A1:E18"/>
  <sheetViews>
    <sheetView topLeftCell="A8" workbookViewId="0">
      <selection activeCell="A16" sqref="A16:D16"/>
    </sheetView>
  </sheetViews>
  <sheetFormatPr defaultRowHeight="14.5"/>
  <cols>
    <col min="2" max="2" width="12.08984375" customWidth="1"/>
    <col min="3" max="3" width="12.90625" customWidth="1"/>
    <col min="4" max="4" width="14.7265625" customWidth="1"/>
    <col min="5" max="5" width="15.08984375" customWidth="1"/>
  </cols>
  <sheetData>
    <row r="1" spans="1:5" ht="18">
      <c r="A1" s="15"/>
      <c r="B1" s="16" t="s">
        <v>54</v>
      </c>
      <c r="C1" s="17" t="s">
        <v>55</v>
      </c>
      <c r="D1" s="18" t="s">
        <v>56</v>
      </c>
      <c r="E1" s="17" t="s">
        <v>57</v>
      </c>
    </row>
    <row r="2" spans="1:5" ht="18">
      <c r="A2" s="16" t="s">
        <v>12</v>
      </c>
      <c r="B2" s="21">
        <f>Sheet3!C11</f>
        <v>4</v>
      </c>
      <c r="C2" s="20">
        <v>1.4E-2</v>
      </c>
      <c r="D2" s="21">
        <v>24</v>
      </c>
      <c r="E2" s="20">
        <f>B2*C2*D2/1000</f>
        <v>1.3440000000000001E-3</v>
      </c>
    </row>
    <row r="3" spans="1:5" ht="18">
      <c r="A3" s="16" t="s">
        <v>13</v>
      </c>
      <c r="B3" s="21">
        <f>Sheet3!D11</f>
        <v>75</v>
      </c>
      <c r="C3" s="20">
        <v>2.1999999999999999E-2</v>
      </c>
      <c r="D3" s="21">
        <v>300</v>
      </c>
      <c r="E3" s="20">
        <f>B3*C3*D3/1000</f>
        <v>0.495</v>
      </c>
    </row>
    <row r="4" spans="1:5" ht="18">
      <c r="A4" s="16" t="s">
        <v>14</v>
      </c>
      <c r="B4" s="21">
        <f>Sheet3!E11</f>
        <v>9</v>
      </c>
      <c r="C4" s="20">
        <v>2.1999999999999999E-2</v>
      </c>
      <c r="D4" s="21">
        <v>600</v>
      </c>
      <c r="E4" s="20">
        <f>B4*C4*D4/1000</f>
        <v>0.11879999999999999</v>
      </c>
    </row>
    <row r="5" spans="1:5" ht="18">
      <c r="A5" s="16" t="s">
        <v>15</v>
      </c>
      <c r="B5" s="21">
        <f>Sheet3!F11</f>
        <v>2</v>
      </c>
      <c r="C5" s="20">
        <v>3.3000000000000002E-2</v>
      </c>
      <c r="D5" s="21">
        <v>1200</v>
      </c>
      <c r="E5" s="20">
        <f>B5*C5*D5/1000</f>
        <v>7.9200000000000007E-2</v>
      </c>
    </row>
    <row r="6" spans="1:5" ht="18">
      <c r="A6" s="16" t="s">
        <v>58</v>
      </c>
      <c r="B6" s="21">
        <f>Sheet3!G11</f>
        <v>18</v>
      </c>
      <c r="C6" s="20">
        <v>5.5</v>
      </c>
      <c r="D6" s="21">
        <v>12</v>
      </c>
      <c r="E6" s="20">
        <f>B6*C6*D6/1000</f>
        <v>1.1879999999999999</v>
      </c>
    </row>
    <row r="7" spans="1:5" ht="17.5">
      <c r="A7" s="36" t="s">
        <v>59</v>
      </c>
      <c r="B7" s="36"/>
      <c r="C7" s="36"/>
      <c r="D7" s="36"/>
      <c r="E7" s="22">
        <f>SUM(E2:E6)</f>
        <v>1.882344</v>
      </c>
    </row>
    <row r="8" spans="1:5" ht="18">
      <c r="A8" s="16" t="s">
        <v>60</v>
      </c>
      <c r="B8" s="21">
        <f>Sheet3!I11</f>
        <v>2</v>
      </c>
      <c r="C8" s="20">
        <v>2.1</v>
      </c>
      <c r="D8" s="21">
        <v>80</v>
      </c>
      <c r="E8" s="20">
        <f>D8*C8*B8/1000</f>
        <v>0.33600000000000002</v>
      </c>
    </row>
    <row r="9" spans="1:5" ht="18">
      <c r="A9" s="16" t="s">
        <v>61</v>
      </c>
      <c r="B9" s="21">
        <f>Sheet3!J11</f>
        <v>1</v>
      </c>
      <c r="C9" s="20">
        <v>5</v>
      </c>
      <c r="D9" s="21">
        <v>100</v>
      </c>
      <c r="E9" s="20">
        <f>D9*C9*B9/1000</f>
        <v>0.5</v>
      </c>
    </row>
    <row r="10" spans="1:5" ht="18">
      <c r="A10" s="16" t="s">
        <v>62</v>
      </c>
      <c r="B10" s="21">
        <f>Sheet3!K11</f>
        <v>0</v>
      </c>
      <c r="C10" s="20">
        <v>23</v>
      </c>
      <c r="D10" s="21">
        <v>80</v>
      </c>
      <c r="E10" s="20">
        <f>D10*C10*B10/1000</f>
        <v>0</v>
      </c>
    </row>
    <row r="11" spans="1:5" ht="18">
      <c r="A11" s="16" t="s">
        <v>17</v>
      </c>
      <c r="B11" s="21">
        <f>Sheet3!L11</f>
        <v>0</v>
      </c>
      <c r="C11" s="20">
        <v>16.5</v>
      </c>
      <c r="D11" s="21">
        <v>30</v>
      </c>
      <c r="E11" s="20">
        <f>D11*C11*B11/1000</f>
        <v>0</v>
      </c>
    </row>
    <row r="12" spans="1:5" ht="17.5">
      <c r="A12" s="37" t="s">
        <v>63</v>
      </c>
      <c r="B12" s="38"/>
      <c r="C12" s="38"/>
      <c r="D12" s="39"/>
      <c r="E12" s="22">
        <f>SUM(E8:E11)</f>
        <v>0.83600000000000008</v>
      </c>
    </row>
    <row r="13" spans="1:5" ht="18">
      <c r="A13" s="16" t="s">
        <v>64</v>
      </c>
      <c r="B13" s="21">
        <f>Sheet3!M11</f>
        <v>0</v>
      </c>
      <c r="C13" s="20">
        <v>0.17</v>
      </c>
      <c r="D13" s="21">
        <v>1200</v>
      </c>
      <c r="E13" s="20">
        <f>B13*C13*D13/1000</f>
        <v>0</v>
      </c>
    </row>
    <row r="14" spans="1:5" ht="17.5">
      <c r="A14" s="40" t="s">
        <v>65</v>
      </c>
      <c r="B14" s="41"/>
      <c r="C14" s="41"/>
      <c r="D14" s="42"/>
      <c r="E14" s="24">
        <f>E13</f>
        <v>0</v>
      </c>
    </row>
    <row r="15" spans="1:5" ht="18">
      <c r="A15" s="30" t="s">
        <v>6</v>
      </c>
      <c r="B15" s="31">
        <f>Sheet3!H11</f>
        <v>390</v>
      </c>
      <c r="C15" s="27">
        <v>0.75</v>
      </c>
      <c r="D15" s="28"/>
      <c r="E15" s="29">
        <f>C15*B15/1000</f>
        <v>0.29249999999999998</v>
      </c>
    </row>
    <row r="16" spans="1:5" ht="17.5">
      <c r="A16" s="40" t="s">
        <v>66</v>
      </c>
      <c r="B16" s="41"/>
      <c r="C16" s="41"/>
      <c r="D16" s="42"/>
      <c r="E16" s="24">
        <f>E15</f>
        <v>0.29249999999999998</v>
      </c>
    </row>
    <row r="17" spans="1:5" ht="18">
      <c r="A17" s="30" t="s">
        <v>67</v>
      </c>
      <c r="B17" s="31"/>
      <c r="C17" s="27"/>
      <c r="D17" s="28"/>
      <c r="E17" s="29">
        <v>0</v>
      </c>
    </row>
    <row r="18" spans="1:5" ht="17.5">
      <c r="A18" s="40" t="s">
        <v>68</v>
      </c>
      <c r="B18" s="41"/>
      <c r="C18" s="41"/>
      <c r="D18" s="42"/>
      <c r="E18" s="24">
        <v>0</v>
      </c>
    </row>
  </sheetData>
  <mergeCells count="5">
    <mergeCell ref="A7:D7"/>
    <mergeCell ref="A12:D12"/>
    <mergeCell ref="A14:D14"/>
    <mergeCell ref="A16:D16"/>
    <mergeCell ref="A18:D1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B22FA-D9EC-4D91-81DD-ED05F900022D}">
  <dimension ref="A1:E18"/>
  <sheetViews>
    <sheetView workbookViewId="0">
      <selection activeCell="E10" sqref="E10"/>
    </sheetView>
  </sheetViews>
  <sheetFormatPr defaultRowHeight="14.5"/>
  <cols>
    <col min="1" max="1" width="11.26953125" customWidth="1"/>
    <col min="2" max="2" width="14.08984375" customWidth="1"/>
    <col min="3" max="3" width="13.7265625" customWidth="1"/>
    <col min="4" max="4" width="13.08984375" customWidth="1"/>
    <col min="5" max="5" width="12.6328125" customWidth="1"/>
  </cols>
  <sheetData>
    <row r="1" spans="1:5" ht="18">
      <c r="A1" s="15"/>
      <c r="B1" s="16" t="s">
        <v>54</v>
      </c>
      <c r="C1" s="17" t="s">
        <v>55</v>
      </c>
      <c r="D1" s="18" t="s">
        <v>56</v>
      </c>
      <c r="E1" s="17" t="s">
        <v>57</v>
      </c>
    </row>
    <row r="2" spans="1:5" ht="18">
      <c r="A2" s="16" t="s">
        <v>12</v>
      </c>
      <c r="B2" s="21">
        <f>Sheet4!C10</f>
        <v>0</v>
      </c>
      <c r="C2" s="20">
        <v>1.4E-2</v>
      </c>
      <c r="D2" s="21">
        <v>24</v>
      </c>
      <c r="E2" s="20">
        <f>B2*C2*D2/1000</f>
        <v>0</v>
      </c>
    </row>
    <row r="3" spans="1:5" ht="18">
      <c r="A3" s="16" t="s">
        <v>13</v>
      </c>
      <c r="B3" s="21">
        <f>Sheet4!D10</f>
        <v>20</v>
      </c>
      <c r="C3" s="20">
        <v>2.1999999999999999E-2</v>
      </c>
      <c r="D3" s="21">
        <v>300</v>
      </c>
      <c r="E3" s="20">
        <f>B3*C3*D3/1000</f>
        <v>0.13199999999999998</v>
      </c>
    </row>
    <row r="4" spans="1:5" ht="18">
      <c r="A4" s="16" t="s">
        <v>14</v>
      </c>
      <c r="B4" s="21">
        <f>Sheet4!E10</f>
        <v>3</v>
      </c>
      <c r="C4" s="20">
        <v>2.1999999999999999E-2</v>
      </c>
      <c r="D4" s="21">
        <v>600</v>
      </c>
      <c r="E4" s="20">
        <f>B4*C4*D4/1000</f>
        <v>3.9600000000000003E-2</v>
      </c>
    </row>
    <row r="5" spans="1:5" ht="18">
      <c r="A5" s="16" t="s">
        <v>15</v>
      </c>
      <c r="B5" s="21">
        <f>Sheet4!F10</f>
        <v>0</v>
      </c>
      <c r="C5" s="20">
        <v>3.3000000000000002E-2</v>
      </c>
      <c r="D5" s="21">
        <v>1200</v>
      </c>
      <c r="E5" s="20">
        <f>B5*C5*D5/1000</f>
        <v>0</v>
      </c>
    </row>
    <row r="6" spans="1:5" ht="18">
      <c r="A6" s="16" t="s">
        <v>58</v>
      </c>
      <c r="B6" s="21">
        <f>Sheet4!G10</f>
        <v>6</v>
      </c>
      <c r="C6" s="20">
        <v>5.5</v>
      </c>
      <c r="D6" s="21">
        <v>12</v>
      </c>
      <c r="E6" s="20">
        <f>B6*C6*D6/1000</f>
        <v>0.39600000000000002</v>
      </c>
    </row>
    <row r="7" spans="1:5" ht="17.5">
      <c r="A7" s="36" t="s">
        <v>59</v>
      </c>
      <c r="B7" s="36"/>
      <c r="C7" s="36"/>
      <c r="D7" s="36"/>
      <c r="E7" s="22">
        <f>SUM(E2:E6)</f>
        <v>0.56759999999999999</v>
      </c>
    </row>
    <row r="8" spans="1:5" ht="18">
      <c r="A8" s="16" t="s">
        <v>60</v>
      </c>
      <c r="B8" s="21">
        <f>Sheet4!I10</f>
        <v>0</v>
      </c>
      <c r="C8" s="20">
        <v>2.1</v>
      </c>
      <c r="D8" s="21">
        <v>80</v>
      </c>
      <c r="E8" s="20">
        <f>D8*C8*B8/1000</f>
        <v>0</v>
      </c>
    </row>
    <row r="9" spans="1:5" ht="18">
      <c r="A9" s="16" t="s">
        <v>61</v>
      </c>
      <c r="B9" s="21">
        <f>Sheet4!J10</f>
        <v>0</v>
      </c>
      <c r="C9" s="20">
        <v>5</v>
      </c>
      <c r="D9" s="21">
        <v>100</v>
      </c>
      <c r="E9" s="20">
        <f>D9*C9*B9/1000</f>
        <v>0</v>
      </c>
    </row>
    <row r="10" spans="1:5" ht="18">
      <c r="A10" s="16" t="s">
        <v>62</v>
      </c>
      <c r="B10" s="21">
        <f>Sheet4!K10</f>
        <v>0</v>
      </c>
      <c r="C10" s="20">
        <v>23</v>
      </c>
      <c r="D10" s="21">
        <v>80</v>
      </c>
      <c r="E10" s="20">
        <f>D10*C10*B10/1000</f>
        <v>0</v>
      </c>
    </row>
    <row r="11" spans="1:5" ht="18">
      <c r="A11" s="16" t="s">
        <v>17</v>
      </c>
      <c r="B11" s="21">
        <f>Sheet4!L10</f>
        <v>0</v>
      </c>
      <c r="C11" s="20">
        <v>16.5</v>
      </c>
      <c r="D11" s="21">
        <v>30</v>
      </c>
      <c r="E11" s="20">
        <f>D11*C11*B11/1000</f>
        <v>0</v>
      </c>
    </row>
    <row r="12" spans="1:5" ht="17.5">
      <c r="A12" s="37" t="s">
        <v>63</v>
      </c>
      <c r="B12" s="38"/>
      <c r="C12" s="38"/>
      <c r="D12" s="39"/>
      <c r="E12" s="22">
        <f>SUM(E8:E11)</f>
        <v>0</v>
      </c>
    </row>
    <row r="13" spans="1:5" ht="18">
      <c r="A13" s="16" t="s">
        <v>64</v>
      </c>
      <c r="B13" s="21">
        <f>Sheet4!M10</f>
        <v>0</v>
      </c>
      <c r="C13" s="20">
        <v>0.17</v>
      </c>
      <c r="D13" s="21">
        <v>1200</v>
      </c>
      <c r="E13" s="20">
        <f>B13*C13*D13/1000</f>
        <v>0</v>
      </c>
    </row>
    <row r="14" spans="1:5" ht="17.5">
      <c r="A14" s="40" t="s">
        <v>65</v>
      </c>
      <c r="B14" s="41"/>
      <c r="C14" s="41"/>
      <c r="D14" s="42"/>
      <c r="E14" s="24">
        <f>E13</f>
        <v>0</v>
      </c>
    </row>
    <row r="15" spans="1:5" ht="18">
      <c r="A15" s="30" t="s">
        <v>6</v>
      </c>
      <c r="B15" s="31">
        <f>Sheet4!H10</f>
        <v>102</v>
      </c>
      <c r="C15" s="27">
        <v>0.75</v>
      </c>
      <c r="D15" s="28"/>
      <c r="E15" s="29">
        <f>C15*B15/1000</f>
        <v>7.6499999999999999E-2</v>
      </c>
    </row>
    <row r="16" spans="1:5" ht="17.5">
      <c r="A16" s="40" t="s">
        <v>66</v>
      </c>
      <c r="B16" s="41"/>
      <c r="C16" s="41"/>
      <c r="D16" s="42"/>
      <c r="E16" s="24">
        <f>E15</f>
        <v>7.6499999999999999E-2</v>
      </c>
    </row>
    <row r="17" spans="1:5" ht="18">
      <c r="A17" s="30" t="s">
        <v>67</v>
      </c>
      <c r="B17" s="31"/>
      <c r="C17" s="27"/>
      <c r="D17" s="28"/>
      <c r="E17" s="29">
        <v>0</v>
      </c>
    </row>
    <row r="18" spans="1:5" ht="17.5">
      <c r="A18" s="40" t="s">
        <v>68</v>
      </c>
      <c r="B18" s="41"/>
      <c r="C18" s="41"/>
      <c r="D18" s="42"/>
      <c r="E18" s="24">
        <v>0</v>
      </c>
    </row>
  </sheetData>
  <mergeCells count="5">
    <mergeCell ref="A7:D7"/>
    <mergeCell ref="A12:D12"/>
    <mergeCell ref="A14:D14"/>
    <mergeCell ref="A16:D16"/>
    <mergeCell ref="A18:D1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7D44A-D0EB-4662-8FA4-7317C80D9FE8}">
  <dimension ref="A1:E18"/>
  <sheetViews>
    <sheetView workbookViewId="0">
      <selection activeCell="B5" sqref="B5"/>
    </sheetView>
  </sheetViews>
  <sheetFormatPr defaultRowHeight="14.5"/>
  <cols>
    <col min="1" max="1" width="15.26953125" customWidth="1"/>
    <col min="2" max="2" width="15" customWidth="1"/>
    <col min="3" max="3" width="12.08984375" customWidth="1"/>
    <col min="5" max="5" width="15.7265625" customWidth="1"/>
  </cols>
  <sheetData>
    <row r="1" spans="1:5" ht="18">
      <c r="A1" s="15"/>
      <c r="B1" s="16" t="s">
        <v>54</v>
      </c>
      <c r="C1" s="17" t="s">
        <v>55</v>
      </c>
      <c r="D1" s="18" t="s">
        <v>56</v>
      </c>
      <c r="E1" s="17" t="s">
        <v>57</v>
      </c>
    </row>
    <row r="2" spans="1:5" ht="18">
      <c r="A2" s="16" t="s">
        <v>12</v>
      </c>
      <c r="B2" s="21" t="e">
        <f>Sheet5!C19</f>
        <v>#REF!</v>
      </c>
      <c r="C2" s="20">
        <v>1.4E-2</v>
      </c>
      <c r="D2" s="21">
        <v>24</v>
      </c>
      <c r="E2" s="20" t="e">
        <f>B2*C2*D2/1000</f>
        <v>#REF!</v>
      </c>
    </row>
    <row r="3" spans="1:5" ht="18">
      <c r="A3" s="16" t="s">
        <v>13</v>
      </c>
      <c r="B3" s="21" t="e">
        <f>Sheet5!D19</f>
        <v>#REF!</v>
      </c>
      <c r="C3" s="20">
        <v>2.1999999999999999E-2</v>
      </c>
      <c r="D3" s="21">
        <v>300</v>
      </c>
      <c r="E3" s="20" t="e">
        <f>B3*C3*D3/1000</f>
        <v>#REF!</v>
      </c>
    </row>
    <row r="4" spans="1:5" ht="18">
      <c r="A4" s="16" t="s">
        <v>14</v>
      </c>
      <c r="B4" s="21" t="e">
        <f>Sheet5!E19</f>
        <v>#REF!</v>
      </c>
      <c r="C4" s="20">
        <v>2.1999999999999999E-2</v>
      </c>
      <c r="D4" s="21">
        <v>600</v>
      </c>
      <c r="E4" s="20" t="e">
        <f>B4*C4*D4/1000</f>
        <v>#REF!</v>
      </c>
    </row>
    <row r="5" spans="1:5" ht="18">
      <c r="A5" s="16" t="s">
        <v>15</v>
      </c>
      <c r="B5" s="21" t="e">
        <f>Sheet5!F19</f>
        <v>#REF!</v>
      </c>
      <c r="C5" s="20">
        <v>3.3000000000000002E-2</v>
      </c>
      <c r="D5" s="21">
        <v>1200</v>
      </c>
      <c r="E5" s="20" t="e">
        <f>B5*C5*D5/1000</f>
        <v>#REF!</v>
      </c>
    </row>
    <row r="6" spans="1:5" ht="18">
      <c r="A6" s="16" t="s">
        <v>58</v>
      </c>
      <c r="B6" s="21" t="e">
        <f>Sheet5!G19</f>
        <v>#REF!</v>
      </c>
      <c r="C6" s="20">
        <v>5.5</v>
      </c>
      <c r="D6" s="21">
        <v>12</v>
      </c>
      <c r="E6" s="20" t="e">
        <f>B6*C6*D6/1000</f>
        <v>#REF!</v>
      </c>
    </row>
    <row r="7" spans="1:5" ht="17.5">
      <c r="A7" s="36" t="s">
        <v>59</v>
      </c>
      <c r="B7" s="36"/>
      <c r="C7" s="36"/>
      <c r="D7" s="36"/>
      <c r="E7" s="22" t="e">
        <f>SUM(E2:E6)</f>
        <v>#REF!</v>
      </c>
    </row>
    <row r="8" spans="1:5" ht="18">
      <c r="A8" s="16" t="s">
        <v>60</v>
      </c>
      <c r="B8" s="21" t="e">
        <f>Sheet5!I19</f>
        <v>#REF!</v>
      </c>
      <c r="C8" s="20">
        <v>2.1</v>
      </c>
      <c r="D8" s="21">
        <v>80</v>
      </c>
      <c r="E8" s="20" t="e">
        <f>D8*C8*B8/1000</f>
        <v>#REF!</v>
      </c>
    </row>
    <row r="9" spans="1:5" ht="18">
      <c r="A9" s="16" t="s">
        <v>61</v>
      </c>
      <c r="B9" s="21" t="e">
        <f>Sheet5!J19</f>
        <v>#REF!</v>
      </c>
      <c r="C9" s="20">
        <v>5</v>
      </c>
      <c r="D9" s="21">
        <v>100</v>
      </c>
      <c r="E9" s="20" t="e">
        <f>D9*C9*B9/1000</f>
        <v>#REF!</v>
      </c>
    </row>
    <row r="10" spans="1:5" ht="18">
      <c r="A10" s="16" t="s">
        <v>62</v>
      </c>
      <c r="B10" s="21" t="e">
        <f>Sheet5!K19</f>
        <v>#REF!</v>
      </c>
      <c r="C10" s="20">
        <v>23</v>
      </c>
      <c r="D10" s="21">
        <v>80</v>
      </c>
      <c r="E10" s="20" t="e">
        <f>D10*C10*B10/1000</f>
        <v>#REF!</v>
      </c>
    </row>
    <row r="11" spans="1:5" ht="18">
      <c r="A11" s="16" t="s">
        <v>17</v>
      </c>
      <c r="B11" s="21" t="e">
        <f>Sheet5!L19</f>
        <v>#REF!</v>
      </c>
      <c r="C11" s="20">
        <v>16.5</v>
      </c>
      <c r="D11" s="21">
        <v>30</v>
      </c>
      <c r="E11" s="20" t="e">
        <f>D11*C11*B11/1000</f>
        <v>#REF!</v>
      </c>
    </row>
    <row r="12" spans="1:5" ht="17.5">
      <c r="A12" s="37" t="s">
        <v>63</v>
      </c>
      <c r="B12" s="38"/>
      <c r="C12" s="38"/>
      <c r="D12" s="39"/>
      <c r="E12" s="22" t="e">
        <f>SUM(E8:E11)</f>
        <v>#REF!</v>
      </c>
    </row>
    <row r="13" spans="1:5" ht="18">
      <c r="A13" s="16" t="s">
        <v>64</v>
      </c>
      <c r="B13" s="21" t="e">
        <f>Sheet5!M19</f>
        <v>#REF!</v>
      </c>
      <c r="C13" s="20">
        <v>0.17</v>
      </c>
      <c r="D13" s="21">
        <v>1200</v>
      </c>
      <c r="E13" s="20" t="e">
        <f>B13*C13*D13/1000</f>
        <v>#REF!</v>
      </c>
    </row>
    <row r="14" spans="1:5" ht="17.5">
      <c r="A14" s="40" t="s">
        <v>65</v>
      </c>
      <c r="B14" s="41"/>
      <c r="C14" s="41"/>
      <c r="D14" s="42"/>
      <c r="E14" s="24" t="e">
        <f>E13</f>
        <v>#REF!</v>
      </c>
    </row>
    <row r="15" spans="1:5" ht="18">
      <c r="A15" s="30" t="s">
        <v>6</v>
      </c>
      <c r="B15" s="31" t="e">
        <f>Sheet5!H19</f>
        <v>#REF!</v>
      </c>
      <c r="C15" s="27">
        <v>0.75</v>
      </c>
      <c r="D15" s="28"/>
      <c r="E15" s="29" t="e">
        <f>C15*B15/1000</f>
        <v>#REF!</v>
      </c>
    </row>
    <row r="16" spans="1:5" ht="17.5">
      <c r="A16" s="40" t="s">
        <v>66</v>
      </c>
      <c r="B16" s="41"/>
      <c r="C16" s="41"/>
      <c r="D16" s="42"/>
      <c r="E16" s="24" t="e">
        <f>E15</f>
        <v>#REF!</v>
      </c>
    </row>
    <row r="17" spans="1:5" ht="18">
      <c r="A17" s="30" t="s">
        <v>67</v>
      </c>
      <c r="B17" s="31"/>
      <c r="C17" s="27"/>
      <c r="D17" s="28"/>
      <c r="E17" s="29">
        <v>0</v>
      </c>
    </row>
    <row r="18" spans="1:5" ht="17.5">
      <c r="A18" s="40" t="s">
        <v>68</v>
      </c>
      <c r="B18" s="41"/>
      <c r="C18" s="41"/>
      <c r="D18" s="42"/>
      <c r="E18" s="24">
        <v>0</v>
      </c>
    </row>
  </sheetData>
  <mergeCells count="5">
    <mergeCell ref="A7:D7"/>
    <mergeCell ref="A12:D12"/>
    <mergeCell ref="A14:D14"/>
    <mergeCell ref="A16:D16"/>
    <mergeCell ref="A18:D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DAN1</vt:lpstr>
      <vt:lpstr>DAN2</vt:lpstr>
      <vt:lpstr>DAN3</vt:lpstr>
      <vt:lpstr>DAN4</vt:lpstr>
      <vt:lpstr>DAN5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Vũ Thế Nguyên</dc:creator>
  <cp:lastModifiedBy>Vũ Thế Nguyên</cp:lastModifiedBy>
  <dcterms:created xsi:type="dcterms:W3CDTF">2026-03-04T13:09:32Z</dcterms:created>
  <dcterms:modified xsi:type="dcterms:W3CDTF">2026-03-05T15:32:38Z</dcterms:modified>
</cp:coreProperties>
</file>