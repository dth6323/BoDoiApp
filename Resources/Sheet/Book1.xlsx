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B96BA870-04BC-43A6-8CC3-B9A92F88DA01}" xr6:coauthVersionLast="47" xr6:coauthVersionMax="47" xr10:uidLastSave="{00000000-0000-0000-0000-000000000000}"/>
  <bookViews>
    <workbookView xWindow="-108" yWindow="-108" windowWidth="23256" windowHeight="12456" activeTab="3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4" l="1"/>
  <c r="C7" i="4"/>
  <c r="E6" i="4"/>
  <c r="E5" i="4"/>
  <c r="E4" i="4"/>
  <c r="E3" i="4"/>
  <c r="E7" i="4" s="1"/>
  <c r="E2" i="4"/>
  <c r="H57" i="8"/>
  <c r="D57" i="8"/>
  <c r="J57" i="8" s="1"/>
  <c r="H56" i="8"/>
  <c r="D56" i="8"/>
  <c r="G56" i="8" s="1"/>
  <c r="H55" i="8"/>
  <c r="D55" i="8"/>
  <c r="J55" i="8" s="1"/>
  <c r="H54" i="8"/>
  <c r="D54" i="8"/>
  <c r="I54" i="8" s="1"/>
  <c r="H53" i="8"/>
  <c r="D53" i="8"/>
  <c r="J53" i="8" s="1"/>
  <c r="J52" i="8"/>
  <c r="H52" i="8"/>
  <c r="D52" i="8"/>
  <c r="I52" i="8" s="1"/>
  <c r="H51" i="8"/>
  <c r="D51" i="8"/>
  <c r="G51" i="8" s="1"/>
  <c r="H50" i="8"/>
  <c r="D50" i="8"/>
  <c r="I50" i="8" s="1"/>
  <c r="H49" i="8"/>
  <c r="D49" i="8"/>
  <c r="I49" i="8" s="1"/>
  <c r="H48" i="8"/>
  <c r="D48" i="8"/>
  <c r="G48" i="8" s="1"/>
  <c r="H47" i="8"/>
  <c r="D47" i="8"/>
  <c r="J47" i="8" s="1"/>
  <c r="H46" i="8"/>
  <c r="D46" i="8"/>
  <c r="J46" i="8" s="1"/>
  <c r="H45" i="8"/>
  <c r="D45" i="8"/>
  <c r="I45" i="8" s="1"/>
  <c r="H44" i="8"/>
  <c r="D44" i="8"/>
  <c r="G44" i="8" s="1"/>
  <c r="H43" i="8"/>
  <c r="D43" i="8"/>
  <c r="J43" i="8" s="1"/>
  <c r="H42" i="8"/>
  <c r="D42" i="8"/>
  <c r="J42" i="8" s="1"/>
  <c r="H41" i="8"/>
  <c r="D41" i="8"/>
  <c r="J41" i="8" s="1"/>
  <c r="H40" i="8"/>
  <c r="D40" i="8"/>
  <c r="J40" i="8" s="1"/>
  <c r="H39" i="8"/>
  <c r="D39" i="8"/>
  <c r="G39" i="8" s="1"/>
  <c r="H38" i="8"/>
  <c r="D38" i="8"/>
  <c r="I38" i="8" s="1"/>
  <c r="H37" i="8"/>
  <c r="D37" i="8"/>
  <c r="J37" i="8" s="1"/>
  <c r="H36" i="8"/>
  <c r="D36" i="8"/>
  <c r="J36" i="8" s="1"/>
  <c r="H35" i="8"/>
  <c r="D35" i="8"/>
  <c r="G35" i="8" s="1"/>
  <c r="H34" i="8"/>
  <c r="D34" i="8"/>
  <c r="I34" i="8" s="1"/>
  <c r="H33" i="8"/>
  <c r="D33" i="8"/>
  <c r="J33" i="8" s="1"/>
  <c r="H32" i="8"/>
  <c r="D32" i="8"/>
  <c r="G32" i="8" s="1"/>
  <c r="H31" i="8"/>
  <c r="D31" i="8"/>
  <c r="J31" i="8" s="1"/>
  <c r="H30" i="8"/>
  <c r="D30" i="8"/>
  <c r="J30" i="8" s="1"/>
  <c r="H29" i="8"/>
  <c r="D29" i="8"/>
  <c r="J29" i="8" s="1"/>
  <c r="H28" i="8"/>
  <c r="D28" i="8"/>
  <c r="I28" i="8" s="1"/>
  <c r="H27" i="8"/>
  <c r="D27" i="8"/>
  <c r="G27" i="8" s="1"/>
  <c r="H26" i="8"/>
  <c r="D26" i="8"/>
  <c r="J26" i="8" s="1"/>
  <c r="H25" i="8"/>
  <c r="D25" i="8"/>
  <c r="J25" i="8" s="1"/>
  <c r="H24" i="8"/>
  <c r="D24" i="8"/>
  <c r="J24" i="8" s="1"/>
  <c r="H23" i="8"/>
  <c r="D23" i="8"/>
  <c r="I23" i="8" s="1"/>
  <c r="H22" i="8"/>
  <c r="D22" i="8"/>
  <c r="I22" i="8" s="1"/>
  <c r="H21" i="8"/>
  <c r="D21" i="8"/>
  <c r="J21" i="8" s="1"/>
  <c r="H20" i="8"/>
  <c r="D20" i="8"/>
  <c r="J20" i="8" s="1"/>
  <c r="H19" i="8"/>
  <c r="D19" i="8"/>
  <c r="G19" i="8" s="1"/>
  <c r="H18" i="8"/>
  <c r="D18" i="8"/>
  <c r="I18" i="8" s="1"/>
  <c r="H17" i="8"/>
  <c r="D17" i="8"/>
  <c r="J17" i="8" s="1"/>
  <c r="H16" i="8"/>
  <c r="D16" i="8"/>
  <c r="G16" i="8" s="1"/>
  <c r="H15" i="8"/>
  <c r="D15" i="8"/>
  <c r="J15" i="8" s="1"/>
  <c r="H14" i="8"/>
  <c r="D14" i="8"/>
  <c r="I14" i="8" s="1"/>
  <c r="H13" i="8"/>
  <c r="D13" i="8"/>
  <c r="J13" i="8" s="1"/>
  <c r="H12" i="8"/>
  <c r="D12" i="8"/>
  <c r="I12" i="8" s="1"/>
  <c r="H11" i="8"/>
  <c r="D11" i="8"/>
  <c r="G11" i="8" s="1"/>
  <c r="H10" i="8"/>
  <c r="D10" i="8"/>
  <c r="I10" i="8" s="1"/>
  <c r="H9" i="8"/>
  <c r="D9" i="8"/>
  <c r="J9" i="8" s="1"/>
  <c r="H8" i="8"/>
  <c r="D8" i="8"/>
  <c r="J8" i="8" s="1"/>
  <c r="H7" i="8"/>
  <c r="D7" i="8"/>
  <c r="G7" i="8" s="1"/>
  <c r="H6" i="8"/>
  <c r="D6" i="8"/>
  <c r="I6" i="8" s="1"/>
  <c r="H5" i="8"/>
  <c r="D5" i="8"/>
  <c r="I5" i="8" s="1"/>
  <c r="H4" i="8"/>
  <c r="D4" i="8"/>
  <c r="I4" i="8" s="1"/>
  <c r="H3" i="8"/>
  <c r="D3" i="8"/>
  <c r="G3" i="8" s="1"/>
  <c r="I19" i="8" l="1"/>
  <c r="G4" i="8"/>
  <c r="I16" i="8"/>
  <c r="I32" i="8"/>
  <c r="J16" i="8"/>
  <c r="J38" i="8"/>
  <c r="G23" i="8"/>
  <c r="G54" i="8"/>
  <c r="G29" i="8"/>
  <c r="G45" i="8"/>
  <c r="J6" i="8"/>
  <c r="G13" i="8"/>
  <c r="I29" i="8"/>
  <c r="I39" i="8"/>
  <c r="J45" i="8"/>
  <c r="G55" i="8"/>
  <c r="I13" i="8"/>
  <c r="J23" i="8"/>
  <c r="J39" i="8"/>
  <c r="I7" i="8"/>
  <c r="G30" i="8"/>
  <c r="I35" i="8"/>
  <c r="G46" i="8"/>
  <c r="I51" i="8"/>
  <c r="I55" i="8"/>
  <c r="I48" i="8"/>
  <c r="J22" i="8"/>
  <c r="J32" i="8"/>
  <c r="J48" i="8"/>
  <c r="J54" i="8"/>
  <c r="J7" i="8"/>
  <c r="J35" i="8"/>
  <c r="J51" i="8"/>
  <c r="G14" i="8"/>
  <c r="J19" i="8"/>
  <c r="I30" i="8"/>
  <c r="I3" i="8"/>
  <c r="G36" i="8"/>
  <c r="G20" i="8"/>
  <c r="G31" i="8"/>
  <c r="G47" i="8"/>
  <c r="I46" i="8"/>
  <c r="G52" i="8"/>
  <c r="J3" i="8"/>
  <c r="G15" i="8"/>
  <c r="I36" i="8"/>
  <c r="G10" i="8"/>
  <c r="G26" i="8"/>
  <c r="G42" i="8"/>
  <c r="I26" i="8"/>
  <c r="I42" i="8"/>
  <c r="J10" i="8"/>
  <c r="G17" i="8"/>
  <c r="G33" i="8"/>
  <c r="G49" i="8"/>
  <c r="G43" i="8"/>
  <c r="G21" i="8"/>
  <c r="I27" i="8"/>
  <c r="G37" i="8"/>
  <c r="I43" i="8"/>
  <c r="G53" i="8"/>
  <c r="I20" i="8"/>
  <c r="J4" i="8"/>
  <c r="I17" i="8"/>
  <c r="I33" i="8"/>
  <c r="G8" i="8"/>
  <c r="J49" i="8"/>
  <c r="G5" i="8"/>
  <c r="I11" i="8"/>
  <c r="J14" i="8"/>
  <c r="I8" i="8"/>
  <c r="J11" i="8"/>
  <c r="G18" i="8"/>
  <c r="I24" i="8"/>
  <c r="J27" i="8"/>
  <c r="G34" i="8"/>
  <c r="I40" i="8"/>
  <c r="G50" i="8"/>
  <c r="I56" i="8"/>
  <c r="G24" i="8"/>
  <c r="J18" i="8"/>
  <c r="I31" i="8"/>
  <c r="J34" i="8"/>
  <c r="G41" i="8"/>
  <c r="I47" i="8"/>
  <c r="J50" i="8"/>
  <c r="G57" i="8"/>
  <c r="G40" i="8"/>
  <c r="I21" i="8"/>
  <c r="I37" i="8"/>
  <c r="J56" i="8"/>
  <c r="J5" i="8"/>
  <c r="G12" i="8"/>
  <c r="G9" i="8"/>
  <c r="I15" i="8"/>
  <c r="G22" i="8"/>
  <c r="G38" i="8"/>
  <c r="I44" i="8"/>
  <c r="I9" i="8"/>
  <c r="J12" i="8"/>
  <c r="I25" i="8"/>
  <c r="J28" i="8"/>
  <c r="I41" i="8"/>
  <c r="J44" i="8"/>
  <c r="I57" i="8"/>
  <c r="I53" i="8"/>
  <c r="G28" i="8"/>
  <c r="G25" i="8"/>
  <c r="G6" i="8"/>
  <c r="B6" i="1" l="1"/>
  <c r="C6" i="1"/>
  <c r="D6" i="1"/>
  <c r="E6" i="1"/>
  <c r="F6" i="1"/>
  <c r="G6" i="1"/>
  <c r="H6" i="1"/>
  <c r="I6" i="1"/>
  <c r="F11" i="7"/>
  <c r="F15" i="7"/>
  <c r="F13" i="7" s="1"/>
  <c r="F16" i="7"/>
  <c r="F14" i="7"/>
  <c r="E13" i="7"/>
  <c r="D13" i="7"/>
  <c r="C13" i="7"/>
  <c r="F12" i="7"/>
  <c r="F10" i="7"/>
  <c r="F9" i="7"/>
  <c r="F8" i="7"/>
  <c r="F7" i="7"/>
  <c r="F5" i="7" s="1"/>
  <c r="F6" i="7"/>
  <c r="E5" i="7"/>
  <c r="D5" i="7"/>
  <c r="C5" i="7"/>
  <c r="M8" i="6"/>
  <c r="L8" i="6"/>
  <c r="K8" i="6"/>
  <c r="J8" i="6"/>
  <c r="I8" i="6"/>
  <c r="H8" i="6"/>
  <c r="G8" i="6"/>
  <c r="F8" i="6"/>
  <c r="E8" i="6"/>
  <c r="D8" i="6"/>
  <c r="C8" i="6"/>
  <c r="B8" i="6"/>
  <c r="M6" i="6"/>
  <c r="M19" i="6" s="1"/>
  <c r="L6" i="6"/>
  <c r="L19" i="6" s="1"/>
  <c r="K6" i="6"/>
  <c r="K19" i="6" s="1"/>
  <c r="J6" i="6"/>
  <c r="J19" i="6" s="1"/>
  <c r="I6" i="6"/>
  <c r="I19" i="6" s="1"/>
  <c r="H6" i="6"/>
  <c r="H19" i="6" s="1"/>
  <c r="G6" i="6"/>
  <c r="F6" i="6"/>
  <c r="F19" i="6" s="1"/>
  <c r="E6" i="6"/>
  <c r="E19" i="6" s="1"/>
  <c r="D6" i="6"/>
  <c r="C6" i="6"/>
  <c r="C19" i="6" s="1"/>
  <c r="B6" i="6"/>
  <c r="B19" i="6" s="1"/>
  <c r="E7" i="3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K6" i="2"/>
  <c r="K19" i="2" s="1"/>
  <c r="J6" i="2"/>
  <c r="J19" i="2" s="1"/>
  <c r="I6" i="2"/>
  <c r="H6" i="2"/>
  <c r="G6" i="2"/>
  <c r="G19" i="2" s="1"/>
  <c r="F6" i="2"/>
  <c r="F19" i="2" s="1"/>
  <c r="E6" i="2"/>
  <c r="E19" i="2" s="1"/>
  <c r="D6" i="2"/>
  <c r="D19" i="2" s="1"/>
  <c r="C6" i="2"/>
  <c r="C19" i="2" s="1"/>
  <c r="B6" i="2"/>
  <c r="B19" i="2" s="1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  <c r="D19" i="6" l="1"/>
  <c r="L19" i="2"/>
  <c r="G19" i="6"/>
  <c r="I19" i="2"/>
  <c r="H19" i="2"/>
</calcChain>
</file>

<file path=xl/sharedStrings.xml><?xml version="1.0" encoding="utf-8"?>
<sst xmlns="http://schemas.openxmlformats.org/spreadsheetml/2006/main" count="319" uniqueCount="126">
  <si>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</si>
  <si>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</si>
  <si>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</si>
  <si>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</si>
  <si>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</si>
  <si>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</si>
  <si>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</si>
  <si>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</si>
  <si>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</si>
  <si>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</si>
  <si>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</si>
  <si>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</si>
  <si>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</si>
  <si>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</si>
  <si>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</si>
  <si>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</si>
  <si>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</si>
  <si>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</si>
  <si>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</si>
  <si>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</si>
  <si>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</si>
  <si>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</si>
  <si>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</si>
  <si>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</si>
  <si>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</si>
  <si>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</si>
  <si>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</si>
  <si>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</si>
  <si>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</si>
  <si>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</si>
  <si>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</si>
  <si>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</si>
  <si>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</si>
  <si>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</si>
  <si>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</si>
  <si>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</si>
  <si>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</si>
  <si>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</si>
  <si>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</si>
  <si>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</si>
  <si>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</si>
  <si>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</si>
  <si>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</si>
  <si>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</si>
  <si>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</si>
  <si>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</si>
  <si>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</si>
  <si>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</si>
  <si>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</si>
  <si>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</si>
  <si>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</si>
  <si>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</si>
  <si>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</si>
  <si>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</si>
  <si>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</si>
  <si>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Tấn</t>
  </si>
  <si>
    <t>Quân nhu</t>
  </si>
  <si>
    <t>Quân y</t>
  </si>
  <si>
    <t>Doanh trại</t>
  </si>
  <si>
    <t>Cộng</t>
  </si>
  <si>
    <t>TT</t>
  </si>
  <si>
    <t>PC SCĐ</t>
  </si>
  <si>
    <t>Kho d</t>
  </si>
  <si>
    <t>Đơn vị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</si>
  <si>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</si>
  <si>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</si>
  <si>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</si>
  <si>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</si>
  <si>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</si>
  <si>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</si>
  <si>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</si>
  <si>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</si>
  <si>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</si>
  <si>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</si>
  <si>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</si>
  <si>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</si>
  <si>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</si>
  <si>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</si>
  <si>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Tên TBKT</t>
  </si>
  <si>
    <t>Đơn vị tính</t>
  </si>
  <si>
    <t xml:space="preserve">Nhu cầu </t>
  </si>
  <si>
    <t>Phải có trước CĐ</t>
  </si>
  <si>
    <t>Phải bổ sung</t>
  </si>
  <si>
    <t>Tổng số</t>
  </si>
  <si>
    <r>
      <t>K</t>
    </r>
    <r>
      <rPr>
        <b/>
        <vertAlign val="subscript"/>
        <sz val="12"/>
        <color theme="1"/>
        <rFont val="Times New Roman"/>
        <family val="1"/>
      </rPr>
      <t>bđ</t>
    </r>
  </si>
  <si>
    <r>
      <t>K</t>
    </r>
    <r>
      <rPr>
        <b/>
        <vertAlign val="subscript"/>
        <sz val="12"/>
        <color theme="1"/>
        <rFont val="Times New Roman"/>
        <family val="1"/>
      </rPr>
      <t>t</t>
    </r>
  </si>
  <si>
    <t>Số lượng</t>
  </si>
  <si>
    <t>Thời gian</t>
  </si>
  <si>
    <t>Địa điểm</t>
  </si>
  <si>
    <t>Phương thức</t>
  </si>
  <si>
    <t>dBB1+PT</t>
  </si>
  <si>
    <t>SMPK 12,7mm</t>
  </si>
  <si>
    <t>Cối 100mm/e</t>
  </si>
  <si>
    <t>Cối 82mm/d</t>
  </si>
  <si>
    <t>Cối 60mm</t>
  </si>
  <si>
    <t>Súng SPG-9</t>
  </si>
  <si>
    <t>Súng B41</t>
  </si>
  <si>
    <t>Súng đại liên</t>
  </si>
  <si>
    <t>Súng trung liên</t>
  </si>
  <si>
    <t>Súng tiểu liên</t>
  </si>
  <si>
    <t>Súng ngắn</t>
  </si>
  <si>
    <t>quả</t>
  </si>
  <si>
    <t>Hướng PN chủ yếu</t>
  </si>
  <si>
    <t>Hướng PN thứ yếu</t>
  </si>
  <si>
    <t>Hướng PN phía sau</t>
  </si>
  <si>
    <t>Lực lượng còn lại</t>
  </si>
  <si>
    <t>14.00 N-4</t>
  </si>
  <si>
    <t>VTCH/đv</t>
  </si>
  <si>
    <t>Tay ba</t>
  </si>
  <si>
    <t>  </t>
  </si>
  <si>
    <t>Phân đội HC-KT</t>
  </si>
  <si>
    <t>-</t>
  </si>
  <si>
    <t>TLHC/d</t>
  </si>
  <si>
    <t>NVQK</t>
  </si>
  <si>
    <t>NVQN</t>
  </si>
  <si>
    <t>NVKT</t>
  </si>
  <si>
    <t>QY/d</t>
  </si>
  <si>
    <t>bVTB/d</t>
  </si>
  <si>
    <t>bPV/d</t>
  </si>
  <si>
    <t>LL tăng cường</t>
  </si>
  <si>
    <t>QY/e</t>
  </si>
  <si>
    <t>bVTB/e</t>
  </si>
  <si>
    <t>Tổ SC/e</t>
  </si>
  <si>
    <t>Loại VC</t>
  </si>
  <si>
    <t>Đạn, lựu đạn</t>
  </si>
  <si>
    <t>Vật tư kỹ thuật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</si>
</sst>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vertAlign val="subscript"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8" fillId="0" borderId="18" xfId="0" applyFont="1" applyBorder="1" applyAlignment="1">
      <alignment vertical="center" wrapText="1"/>
    </xf>
    <xf numFmtId="0" fontId="0" fillId="0" borderId="7" xfId="0" applyBorder="1"/>
    <xf numFmtId="0" fontId="12" fillId="0" borderId="0" xfId="0" applyFont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7" xfId="0" applyFont="1" applyBorder="1" applyAlignment="1">
      <alignment vertical="center"/>
    </xf>
    <xf numFmtId="0" fontId="19" fillId="0" borderId="7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5" fillId="8" borderId="18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vertical="center"/>
    </xf>
    <xf numFmtId="0" fontId="18" fillId="8" borderId="18" xfId="0" applyFont="1" applyFill="1" applyBorder="1" applyAlignment="1">
      <alignment horizontal="center" vertical="center"/>
    </xf>
    <xf numFmtId="3" fontId="18" fillId="8" borderId="18" xfId="0" applyNumberFormat="1" applyFont="1" applyFill="1" applyBorder="1" applyAlignment="1">
      <alignment horizontal="center" vertical="center"/>
    </xf>
    <xf numFmtId="3" fontId="18" fillId="3" borderId="18" xfId="0" applyNumberFormat="1" applyFont="1" applyFill="1" applyBorder="1" applyAlignment="1">
      <alignment horizontal="center" vertical="center" wrapText="1"/>
    </xf>
    <xf numFmtId="0" fontId="17" fillId="8" borderId="13" xfId="0" applyFont="1" applyFill="1" applyBorder="1" applyAlignment="1">
      <alignment horizontal="center" vertical="center" textRotation="90" wrapText="1"/>
    </xf>
    <xf numFmtId="0" fontId="17" fillId="8" borderId="19" xfId="0" applyFont="1" applyFill="1" applyBorder="1" applyAlignment="1">
      <alignment horizontal="center" vertical="center" textRotation="90" wrapText="1"/>
    </xf>
    <xf numFmtId="0" fontId="17" fillId="8" borderId="17" xfId="0" applyFont="1" applyFill="1" applyBorder="1" applyAlignment="1">
      <alignment horizontal="center" vertical="center" textRotation="90" wrapText="1"/>
    </xf>
    <xf numFmtId="0" fontId="17" fillId="8" borderId="7" xfId="0" applyFont="1" applyFill="1" applyBorder="1" applyAlignment="1">
      <alignment horizontal="center" vertical="center" textRotation="90" wrapText="1"/>
    </xf>
    <xf numFmtId="0" fontId="15" fillId="8" borderId="14" xfId="0" applyFont="1" applyFill="1" applyBorder="1" applyAlignment="1">
      <alignment horizontal="center" vertical="center" wrapText="1"/>
    </xf>
    <xf numFmtId="0" fontId="15" fillId="8" borderId="15" xfId="0" applyFont="1" applyFill="1" applyBorder="1" applyAlignment="1">
      <alignment horizontal="center" vertical="center" wrapText="1"/>
    </xf>
    <xf numFmtId="0" fontId="15" fillId="8" borderId="1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0" fontId="15" fillId="8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0" fillId="8" borderId="7" xfId="0" applyFill="1" applyBorder="1"/>
    <xf numFmtId="4" fontId="0" fillId="8" borderId="7" xfId="0" applyNumberFormat="1" applyFill="1" applyBorder="1"/>
    <xf numFmtId="2" fontId="0" fillId="8" borderId="7" xfId="0" applyNumberFormat="1" applyFill="1" applyBorder="1"/>
    <xf numFmtId="0" fontId="12" fillId="8" borderId="7" xfId="0" applyFont="1" applyFill="1" applyBorder="1"/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M&#244;%20t&#7843;%20ph&#7847;n%20m&#7873;m%20(version%201).xlsx" TargetMode="External"/><Relationship Id="rId2" Type="http://schemas.openxmlformats.org/officeDocument/2006/relationships/externalLinkPath" Target="file:///D:\downloads\M&#244;%20t&#7843;%20ph&#7847;n%20m&#7873;m%20(version%201).xlsx" TargetMode="External"/><Relationship Id="rId1" Type="http://schemas.openxmlformats.org/officeDocument/2006/relationships/externalLinkPath" Target="/downloads/M&#244;%20t&#7843;%20ph&#7847;n%20m&#7873;m%20(version%20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Giao diện"/>
      <sheetName val="QUÂN SỐ"/>
      <sheetName val="1. QS, TBKT"/>
      <sheetName val="BaoDamVKTBKT"/>
      <sheetName val="Đạn"/>
      <sheetName val="TinhHinhVC"/>
      <sheetName val="ChiLenhHCKT"/>
      <sheetName val="PhanCapVCHC"/>
      <sheetName val="VCHC, VTKT"/>
      <sheetName val="DuKienKLVatChat"/>
      <sheetName val="KeHoachVanChuyen"/>
      <sheetName val="KhoiLuongVanTai"/>
      <sheetName val="DuKienTiLeTBBB"/>
    </sheetNames>
    <sheetDataSet>
      <sheetData sheetId="0"/>
      <sheetData sheetId="1"/>
      <sheetData sheetId="2">
        <row r="19">
          <cell r="C19">
            <v>36</v>
          </cell>
          <cell r="D19">
            <v>439</v>
          </cell>
          <cell r="E19">
            <v>27</v>
          </cell>
          <cell r="F19">
            <v>6</v>
          </cell>
          <cell r="G19">
            <v>54</v>
          </cell>
          <cell r="H19">
            <v>2073</v>
          </cell>
          <cell r="I19">
            <v>6</v>
          </cell>
          <cell r="J19">
            <v>4</v>
          </cell>
          <cell r="K19">
            <v>4</v>
          </cell>
          <cell r="L19">
            <v>9</v>
          </cell>
          <cell r="M19">
            <v>9</v>
          </cell>
        </row>
        <row r="36">
          <cell r="C36">
            <v>12</v>
          </cell>
          <cell r="D36">
            <v>157</v>
          </cell>
          <cell r="E36">
            <v>15</v>
          </cell>
          <cell r="F36">
            <v>4</v>
          </cell>
          <cell r="G36">
            <v>30</v>
          </cell>
          <cell r="H36">
            <v>822</v>
          </cell>
          <cell r="I36">
            <v>4</v>
          </cell>
          <cell r="J36">
            <v>3</v>
          </cell>
          <cell r="K36">
            <v>0</v>
          </cell>
          <cell r="L36">
            <v>3</v>
          </cell>
          <cell r="M36">
            <v>3</v>
          </cell>
        </row>
        <row r="48">
          <cell r="C48">
            <v>4</v>
          </cell>
          <cell r="D48">
            <v>75</v>
          </cell>
          <cell r="E48">
            <v>9</v>
          </cell>
          <cell r="F48">
            <v>2</v>
          </cell>
          <cell r="G48">
            <v>18</v>
          </cell>
          <cell r="H48">
            <v>390</v>
          </cell>
          <cell r="I48">
            <v>2</v>
          </cell>
          <cell r="J48">
            <v>1</v>
          </cell>
          <cell r="K48">
            <v>0</v>
          </cell>
          <cell r="L48">
            <v>0</v>
          </cell>
          <cell r="M48">
            <v>0</v>
          </cell>
        </row>
        <row r="59">
          <cell r="C59">
            <v>0</v>
          </cell>
          <cell r="D59">
            <v>20</v>
          </cell>
          <cell r="E59">
            <v>3</v>
          </cell>
          <cell r="F59">
            <v>0</v>
          </cell>
          <cell r="G59">
            <v>6</v>
          </cell>
          <cell r="H59">
            <v>102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</row>
        <row r="78">
          <cell r="C78">
            <v>20</v>
          </cell>
          <cell r="D78">
            <v>187</v>
          </cell>
          <cell r="E78">
            <v>0</v>
          </cell>
          <cell r="F78">
            <v>0</v>
          </cell>
          <cell r="G78">
            <v>0</v>
          </cell>
          <cell r="H78">
            <v>759</v>
          </cell>
          <cell r="I78">
            <v>0</v>
          </cell>
          <cell r="J78">
            <v>0</v>
          </cell>
          <cell r="K78">
            <v>4</v>
          </cell>
          <cell r="L78">
            <v>6</v>
          </cell>
          <cell r="M78">
            <v>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Chủ đề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topLeftCell="A7" workbookViewId="0">
      <selection activeCell="A17" sqref="A17"/>
    </sheetView>
  </sheetViews>
  <sheetFormatPr defaultRowHeight="14.4"/>
  <sheetData>
    <row r="1" spans="1:13">
      <c r="A1" s="59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1"/>
    </row>
    <row r="2" spans="1:13">
      <c r="A2" s="62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4"/>
    </row>
    <row r="3" spans="1:13" ht="13.95" customHeight="1">
      <c r="A3" s="65" t="s">
        <v>1</v>
      </c>
      <c r="B3" s="65" t="s">
        <v>2</v>
      </c>
      <c r="C3" s="65" t="s">
        <v>3</v>
      </c>
      <c r="D3" s="65"/>
      <c r="E3" s="65"/>
      <c r="F3" s="65"/>
      <c r="G3" s="65"/>
      <c r="H3" s="65"/>
      <c r="I3" s="65"/>
      <c r="J3" s="65"/>
      <c r="K3" s="65"/>
      <c r="L3" s="65"/>
      <c r="M3" s="65"/>
    </row>
    <row r="4" spans="1:13">
      <c r="A4" s="65"/>
      <c r="B4" s="65"/>
      <c r="C4" s="65" t="s">
        <v>4</v>
      </c>
      <c r="D4" s="65"/>
      <c r="E4" s="65"/>
      <c r="F4" s="65"/>
      <c r="G4" s="65"/>
      <c r="H4" s="65" t="s">
        <v>5</v>
      </c>
      <c r="I4" s="65" t="s">
        <v>6</v>
      </c>
      <c r="J4" s="65"/>
      <c r="K4" s="65"/>
      <c r="L4" s="1" t="s">
        <v>7</v>
      </c>
      <c r="M4" s="1" t="s">
        <v>8</v>
      </c>
    </row>
    <row r="5" spans="1:13">
      <c r="A5" s="65"/>
      <c r="B5" s="65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65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0.399999999999999">
      <c r="A6" s="2" t="s">
        <v>15</v>
      </c>
      <c r="B6" s="2">
        <f t="shared" ref="B6:H6" si="0">B7</f>
        <v>1</v>
      </c>
      <c r="C6" s="2">
        <f t="shared" si="0"/>
        <v>1</v>
      </c>
      <c r="D6" s="2">
        <f t="shared" si="0"/>
        <v>1</v>
      </c>
      <c r="E6" s="2">
        <f t="shared" si="0"/>
        <v>0</v>
      </c>
      <c r="F6" s="2">
        <f t="shared" si="0"/>
        <v>0</v>
      </c>
      <c r="G6" s="2">
        <f t="shared" si="0"/>
        <v>0</v>
      </c>
      <c r="H6" s="2">
        <f t="shared" si="0"/>
        <v>0</v>
      </c>
      <c r="I6" s="2">
        <f>I7</f>
        <v>0</v>
      </c>
      <c r="J6" s="2">
        <f t="shared" ref="J6:M6" si="1">J7</f>
        <v>0</v>
      </c>
      <c r="K6" s="2">
        <f t="shared" si="1"/>
        <v>0</v>
      </c>
      <c r="L6" s="2">
        <f t="shared" si="1"/>
        <v>0</v>
      </c>
      <c r="M6" s="2">
        <f t="shared" si="1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0.399999999999999">
      <c r="A8" s="2" t="s">
        <v>17</v>
      </c>
      <c r="B8" s="2">
        <f t="shared" ref="B8:M8" si="2">SUM(B9:B16)</f>
        <v>0</v>
      </c>
      <c r="C8" s="2">
        <f t="shared" si="2"/>
        <v>0</v>
      </c>
      <c r="D8" s="2">
        <f t="shared" si="2"/>
        <v>0</v>
      </c>
      <c r="E8" s="2">
        <f t="shared" si="2"/>
        <v>0</v>
      </c>
      <c r="F8" s="2">
        <f t="shared" si="2"/>
        <v>0</v>
      </c>
      <c r="G8" s="2">
        <f t="shared" si="2"/>
        <v>0</v>
      </c>
      <c r="H8" s="2">
        <f t="shared" si="2"/>
        <v>0</v>
      </c>
      <c r="I8" s="2">
        <f t="shared" si="2"/>
        <v>0</v>
      </c>
      <c r="J8" s="2">
        <f t="shared" si="2"/>
        <v>0</v>
      </c>
      <c r="K8" s="2">
        <f t="shared" si="2"/>
        <v>0</v>
      </c>
      <c r="L8" s="2">
        <f t="shared" si="2"/>
        <v>0</v>
      </c>
      <c r="M8" s="2">
        <f t="shared" si="2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0.399999999999999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0.399999999999999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0.399999999999999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3">B7+B8</f>
        <v>1</v>
      </c>
      <c r="C17" s="9">
        <f t="shared" si="3"/>
        <v>1</v>
      </c>
      <c r="D17" s="9">
        <f t="shared" si="3"/>
        <v>1</v>
      </c>
      <c r="E17" s="9">
        <f t="shared" si="3"/>
        <v>0</v>
      </c>
      <c r="F17" s="9">
        <f t="shared" si="3"/>
        <v>0</v>
      </c>
      <c r="G17" s="9">
        <f t="shared" si="3"/>
        <v>0</v>
      </c>
      <c r="H17" s="9">
        <f t="shared" si="3"/>
        <v>0</v>
      </c>
      <c r="I17" s="9">
        <f t="shared" si="3"/>
        <v>0</v>
      </c>
      <c r="J17" s="9">
        <f t="shared" si="3"/>
        <v>0</v>
      </c>
      <c r="K17" s="9">
        <f t="shared" si="3"/>
        <v>0</v>
      </c>
      <c r="L17" s="9">
        <f t="shared" si="3"/>
        <v>0</v>
      </c>
      <c r="M17" s="9">
        <f t="shared" si="3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4"/>
  <sheetData>
    <row r="1" spans="1:13">
      <c r="A1" s="59" t="s">
        <v>27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1"/>
    </row>
    <row r="2" spans="1:13">
      <c r="A2" s="62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4"/>
    </row>
    <row r="3" spans="1:13">
      <c r="A3" s="65" t="s">
        <v>1</v>
      </c>
      <c r="B3" s="65" t="s">
        <v>2</v>
      </c>
      <c r="C3" s="65" t="s">
        <v>3</v>
      </c>
      <c r="D3" s="65"/>
      <c r="E3" s="65"/>
      <c r="F3" s="65"/>
      <c r="G3" s="65"/>
      <c r="H3" s="65"/>
      <c r="I3" s="65"/>
      <c r="J3" s="65"/>
      <c r="K3" s="65"/>
      <c r="L3" s="65"/>
      <c r="M3" s="65"/>
    </row>
    <row r="4" spans="1:13">
      <c r="A4" s="65"/>
      <c r="B4" s="65"/>
      <c r="C4" s="65" t="s">
        <v>4</v>
      </c>
      <c r="D4" s="65"/>
      <c r="E4" s="65"/>
      <c r="F4" s="65"/>
      <c r="G4" s="65"/>
      <c r="H4" s="65" t="s">
        <v>5</v>
      </c>
      <c r="I4" s="65" t="s">
        <v>6</v>
      </c>
      <c r="J4" s="65"/>
      <c r="K4" s="65"/>
      <c r="L4" s="1" t="s">
        <v>7</v>
      </c>
      <c r="M4" s="1" t="s">
        <v>8</v>
      </c>
    </row>
    <row r="5" spans="1:13">
      <c r="A5" s="65"/>
      <c r="B5" s="65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65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9.2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9.2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9.2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workbookViewId="0">
      <selection activeCell="F3" sqref="F3"/>
    </sheetView>
  </sheetViews>
  <sheetFormatPr defaultRowHeight="14.4"/>
  <sheetData>
    <row r="1" spans="1:9">
      <c r="A1" s="68" t="s">
        <v>40</v>
      </c>
      <c r="B1" s="68" t="s">
        <v>41</v>
      </c>
      <c r="C1" s="68" t="s">
        <v>42</v>
      </c>
      <c r="D1" s="70" t="s">
        <v>43</v>
      </c>
      <c r="E1" s="71"/>
      <c r="F1" s="71"/>
      <c r="G1" s="72"/>
      <c r="H1" s="66" t="s">
        <v>44</v>
      </c>
      <c r="I1" s="66" t="s">
        <v>45</v>
      </c>
    </row>
    <row r="2" spans="1:9">
      <c r="A2" s="69"/>
      <c r="B2" s="69"/>
      <c r="C2" s="69"/>
      <c r="D2" s="22" t="s">
        <v>46</v>
      </c>
      <c r="E2" s="22" t="s">
        <v>47</v>
      </c>
      <c r="F2" s="22" t="s">
        <v>48</v>
      </c>
      <c r="G2" s="22" t="s">
        <v>49</v>
      </c>
      <c r="H2" s="67"/>
      <c r="I2" s="67"/>
    </row>
    <row r="3" spans="1:9">
      <c r="A3" s="23" t="s">
        <v>9</v>
      </c>
      <c r="B3" s="23" t="s">
        <v>50</v>
      </c>
      <c r="C3" s="23">
        <v>36</v>
      </c>
      <c r="D3" s="24">
        <v>35</v>
      </c>
      <c r="E3" s="23">
        <f>D3/C3</f>
        <v>0.97222222222222221</v>
      </c>
      <c r="F3" s="23">
        <f>G3/D3</f>
        <v>0.97142857142857142</v>
      </c>
      <c r="G3" s="24">
        <v>34</v>
      </c>
      <c r="H3" s="24"/>
      <c r="I3" s="23">
        <f>C3-D3</f>
        <v>1</v>
      </c>
    </row>
    <row r="4" spans="1:9">
      <c r="A4" s="23" t="s">
        <v>10</v>
      </c>
      <c r="B4" s="23" t="s">
        <v>50</v>
      </c>
      <c r="C4" s="23">
        <v>439</v>
      </c>
      <c r="D4" s="24">
        <v>439</v>
      </c>
      <c r="E4" s="23">
        <f>D4/C4</f>
        <v>1</v>
      </c>
      <c r="F4" s="23">
        <f t="shared" ref="F4:F7" si="0">G4/D4</f>
        <v>0.99772209567198178</v>
      </c>
      <c r="G4" s="24">
        <v>438</v>
      </c>
      <c r="H4" s="24"/>
      <c r="I4" s="23">
        <f>C4-D4</f>
        <v>0</v>
      </c>
    </row>
    <row r="5" spans="1:9">
      <c r="A5" s="23" t="s">
        <v>52</v>
      </c>
      <c r="B5" s="23" t="s">
        <v>50</v>
      </c>
      <c r="C5" s="23">
        <v>27</v>
      </c>
      <c r="D5" s="24">
        <v>27</v>
      </c>
      <c r="E5" s="23">
        <f>D5/C5</f>
        <v>1</v>
      </c>
      <c r="F5" s="23">
        <f t="shared" si="0"/>
        <v>1</v>
      </c>
      <c r="G5" s="24">
        <v>27</v>
      </c>
      <c r="H5" s="24"/>
      <c r="I5" s="23">
        <f t="shared" ref="I5:I7" si="1">C5-D5</f>
        <v>0</v>
      </c>
    </row>
    <row r="6" spans="1:9">
      <c r="A6" s="23" t="s">
        <v>53</v>
      </c>
      <c r="B6" s="23" t="s">
        <v>50</v>
      </c>
      <c r="C6" s="23">
        <v>6</v>
      </c>
      <c r="D6" s="24">
        <v>6</v>
      </c>
      <c r="E6" s="23">
        <f>D6/C6</f>
        <v>1</v>
      </c>
      <c r="F6" s="23">
        <f t="shared" si="0"/>
        <v>0.83333333333333337</v>
      </c>
      <c r="G6" s="24">
        <v>5</v>
      </c>
      <c r="H6" s="24"/>
      <c r="I6" s="23">
        <f t="shared" si="1"/>
        <v>0</v>
      </c>
    </row>
    <row r="7" spans="1:9">
      <c r="A7" s="23" t="s">
        <v>5</v>
      </c>
      <c r="B7" s="23" t="s">
        <v>51</v>
      </c>
      <c r="C7" s="23">
        <v>2073</v>
      </c>
      <c r="D7" s="24">
        <v>2073</v>
      </c>
      <c r="E7" s="23">
        <f>D7/C7</f>
        <v>1</v>
      </c>
      <c r="F7" s="23">
        <f t="shared" si="0"/>
        <v>1</v>
      </c>
      <c r="G7" s="24">
        <v>2073</v>
      </c>
      <c r="H7" s="24"/>
      <c r="I7" s="23">
        <f t="shared" si="1"/>
        <v>0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tabSelected="1" workbookViewId="0">
      <selection activeCell="C5" sqref="C5"/>
    </sheetView>
  </sheetViews>
  <sheetFormatPr defaultRowHeight="14.4"/>
  <sheetData>
    <row r="1" spans="1:5">
      <c r="A1" s="97" t="s">
        <v>123</v>
      </c>
      <c r="B1" s="97" t="s">
        <v>41</v>
      </c>
      <c r="C1" s="97" t="s">
        <v>43</v>
      </c>
      <c r="D1" s="97" t="s">
        <v>42</v>
      </c>
      <c r="E1" s="97" t="s">
        <v>45</v>
      </c>
    </row>
    <row r="2" spans="1:5">
      <c r="A2" s="97" t="s">
        <v>124</v>
      </c>
      <c r="B2" s="97" t="s">
        <v>55</v>
      </c>
      <c r="C2" s="98">
        <v>0</v>
      </c>
      <c r="D2" s="98">
        <v>0</v>
      </c>
      <c r="E2" s="98">
        <f>D2-C2</f>
        <v>0</v>
      </c>
    </row>
    <row r="3" spans="1:5">
      <c r="A3" s="97" t="s">
        <v>56</v>
      </c>
      <c r="B3" s="97" t="s">
        <v>55</v>
      </c>
      <c r="C3" s="98">
        <v>0</v>
      </c>
      <c r="D3" s="98">
        <v>0</v>
      </c>
      <c r="E3" s="99">
        <f>D3-C3</f>
        <v>0</v>
      </c>
    </row>
    <row r="4" spans="1:5">
      <c r="A4" s="97" t="s">
        <v>57</v>
      </c>
      <c r="B4" s="97" t="s">
        <v>55</v>
      </c>
      <c r="C4" s="98">
        <v>0</v>
      </c>
      <c r="D4" s="98">
        <v>0</v>
      </c>
      <c r="E4" s="99">
        <f t="shared" ref="E4:E6" si="0">D4-C4</f>
        <v>0</v>
      </c>
    </row>
    <row r="5" spans="1:5">
      <c r="A5" s="97" t="s">
        <v>58</v>
      </c>
      <c r="B5" s="97" t="s">
        <v>55</v>
      </c>
      <c r="C5" s="98">
        <v>0</v>
      </c>
      <c r="D5" s="98">
        <v>0</v>
      </c>
      <c r="E5" s="99">
        <f t="shared" si="0"/>
        <v>0</v>
      </c>
    </row>
    <row r="6" spans="1:5">
      <c r="A6" s="97" t="s">
        <v>125</v>
      </c>
      <c r="B6" s="97" t="s">
        <v>55</v>
      </c>
      <c r="C6" s="98">
        <v>0</v>
      </c>
      <c r="D6" s="98">
        <v>0</v>
      </c>
      <c r="E6" s="99">
        <f t="shared" si="0"/>
        <v>0</v>
      </c>
    </row>
    <row r="7" spans="1:5">
      <c r="A7" s="100" t="s">
        <v>59</v>
      </c>
      <c r="B7" s="97" t="s">
        <v>55</v>
      </c>
      <c r="C7" s="99">
        <f>C3+C4+C5+C6+C2</f>
        <v>0</v>
      </c>
      <c r="D7" s="99">
        <f t="shared" ref="D7:E7" si="1">D3+D4+D5+D6+D2</f>
        <v>0</v>
      </c>
      <c r="E7" s="99">
        <f t="shared" si="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7"/>
  <sheetViews>
    <sheetView workbookViewId="0">
      <selection activeCell="D1" sqref="D1:F1"/>
    </sheetView>
  </sheetViews>
  <sheetFormatPr defaultRowHeight="14.4"/>
  <sheetData>
    <row r="1" spans="1:9">
      <c r="A1" s="73" t="s">
        <v>60</v>
      </c>
      <c r="B1" s="75" t="s">
        <v>54</v>
      </c>
      <c r="C1" s="75" t="s">
        <v>41</v>
      </c>
      <c r="D1" s="77" t="s">
        <v>44</v>
      </c>
      <c r="E1" s="78"/>
      <c r="F1" s="79"/>
      <c r="G1" s="80" t="s">
        <v>61</v>
      </c>
      <c r="H1" s="81"/>
      <c r="I1" s="82"/>
    </row>
    <row r="2" spans="1:9">
      <c r="A2" s="74"/>
      <c r="B2" s="76"/>
      <c r="C2" s="76"/>
      <c r="D2" s="26" t="s">
        <v>62</v>
      </c>
      <c r="E2" s="26" t="s">
        <v>63</v>
      </c>
      <c r="F2" s="26" t="s">
        <v>46</v>
      </c>
      <c r="G2" s="28" t="s">
        <v>62</v>
      </c>
      <c r="H2" s="28" t="s">
        <v>63</v>
      </c>
      <c r="I2" s="28" t="s">
        <v>46</v>
      </c>
    </row>
    <row r="3" spans="1:9">
      <c r="A3" s="24">
        <v>1</v>
      </c>
      <c r="B3" s="26"/>
      <c r="C3" s="25"/>
      <c r="D3" s="27"/>
      <c r="E3" s="27"/>
      <c r="F3" s="27"/>
      <c r="G3" s="24"/>
      <c r="H3" s="24"/>
      <c r="I3" s="24"/>
    </row>
    <row r="4" spans="1:9">
      <c r="A4" s="24">
        <v>2</v>
      </c>
      <c r="B4" s="26"/>
      <c r="C4" s="25"/>
      <c r="D4" s="27"/>
      <c r="E4" s="27"/>
      <c r="F4" s="27"/>
      <c r="G4" s="24"/>
      <c r="H4" s="24"/>
      <c r="I4" s="24"/>
    </row>
    <row r="5" spans="1:9">
      <c r="A5" s="24">
        <v>3</v>
      </c>
      <c r="B5" s="26"/>
      <c r="C5" s="25"/>
      <c r="D5" s="27"/>
      <c r="E5" s="27"/>
      <c r="F5" s="27"/>
      <c r="G5" s="24"/>
      <c r="H5" s="24"/>
      <c r="I5" s="24"/>
    </row>
    <row r="6" spans="1:9">
      <c r="A6" s="24">
        <v>4</v>
      </c>
      <c r="B6" s="26"/>
      <c r="C6" s="25"/>
      <c r="D6" s="27"/>
      <c r="E6" s="27"/>
      <c r="F6" s="27"/>
      <c r="G6" s="24"/>
      <c r="H6" s="24"/>
      <c r="I6" s="24"/>
    </row>
    <row r="7" spans="1:9">
      <c r="A7" s="24">
        <v>5</v>
      </c>
      <c r="B7" s="26"/>
      <c r="C7" s="25"/>
      <c r="D7" s="27"/>
      <c r="E7" s="27"/>
      <c r="F7" s="27"/>
      <c r="G7" s="24"/>
      <c r="H7" s="24"/>
      <c r="I7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B609-02C3-4480-ABA1-81B8EB7FC6E5}">
  <dimension ref="A1:M19"/>
  <sheetViews>
    <sheetView topLeftCell="A7" workbookViewId="0">
      <selection sqref="A1:M2"/>
    </sheetView>
  </sheetViews>
  <sheetFormatPr defaultRowHeight="14.4"/>
  <sheetData>
    <row r="1" spans="1:13">
      <c r="A1" s="59" t="s">
        <v>27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1"/>
    </row>
    <row r="2" spans="1:13">
      <c r="A2" s="62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4"/>
    </row>
    <row r="3" spans="1:13">
      <c r="A3" s="65" t="s">
        <v>1</v>
      </c>
      <c r="B3" s="65" t="s">
        <v>2</v>
      </c>
      <c r="C3" s="65" t="s">
        <v>3</v>
      </c>
      <c r="D3" s="65"/>
      <c r="E3" s="65"/>
      <c r="F3" s="65"/>
      <c r="G3" s="65"/>
      <c r="H3" s="65"/>
      <c r="I3" s="65"/>
      <c r="J3" s="65"/>
      <c r="K3" s="65"/>
      <c r="L3" s="65"/>
      <c r="M3" s="65"/>
    </row>
    <row r="4" spans="1:13">
      <c r="A4" s="65"/>
      <c r="B4" s="65"/>
      <c r="C4" s="65" t="s">
        <v>4</v>
      </c>
      <c r="D4" s="65"/>
      <c r="E4" s="65"/>
      <c r="F4" s="65"/>
      <c r="G4" s="65"/>
      <c r="H4" s="65" t="s">
        <v>5</v>
      </c>
      <c r="I4" s="65" t="s">
        <v>6</v>
      </c>
      <c r="J4" s="65"/>
      <c r="K4" s="65"/>
      <c r="L4" s="1" t="s">
        <v>7</v>
      </c>
      <c r="M4" s="1" t="s">
        <v>8</v>
      </c>
    </row>
    <row r="5" spans="1:13">
      <c r="A5" s="65"/>
      <c r="B5" s="65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65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9.2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9.2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9.2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F06B-A044-4E5A-A947-A016657D51E8}">
  <dimension ref="A1:M16"/>
  <sheetViews>
    <sheetView topLeftCell="A13" workbookViewId="0">
      <selection activeCell="F9" sqref="F9"/>
    </sheetView>
  </sheetViews>
  <sheetFormatPr defaultRowHeight="14.4"/>
  <cols>
    <col min="2" max="2" width="17" customWidth="1"/>
  </cols>
  <sheetData>
    <row r="1" spans="1:13">
      <c r="A1" s="83" t="s">
        <v>60</v>
      </c>
      <c r="B1" s="83" t="s">
        <v>64</v>
      </c>
      <c r="C1" s="94" t="s">
        <v>65</v>
      </c>
      <c r="D1" s="95"/>
      <c r="E1" s="95"/>
      <c r="F1" s="96"/>
      <c r="G1" s="94" t="s">
        <v>66</v>
      </c>
      <c r="H1" s="95"/>
      <c r="I1" s="96"/>
      <c r="J1" s="94" t="s">
        <v>67</v>
      </c>
      <c r="K1" s="95"/>
      <c r="L1" s="95"/>
      <c r="M1" s="96"/>
    </row>
    <row r="2" spans="1:13" ht="14.55" customHeight="1">
      <c r="A2" s="84"/>
      <c r="B2" s="84"/>
      <c r="C2" s="83" t="s">
        <v>68</v>
      </c>
      <c r="D2" s="83" t="s">
        <v>69</v>
      </c>
      <c r="E2" s="83" t="s">
        <v>70</v>
      </c>
      <c r="F2" s="83" t="s">
        <v>46</v>
      </c>
      <c r="G2" s="83" t="s">
        <v>71</v>
      </c>
      <c r="H2" s="83" t="s">
        <v>72</v>
      </c>
      <c r="I2" s="83" t="s">
        <v>73</v>
      </c>
      <c r="J2" s="86" t="s">
        <v>74</v>
      </c>
      <c r="K2" s="87"/>
      <c r="L2" s="90" t="s">
        <v>75</v>
      </c>
      <c r="M2" s="91"/>
    </row>
    <row r="3" spans="1:13">
      <c r="A3" s="84"/>
      <c r="B3" s="84"/>
      <c r="C3" s="84"/>
      <c r="D3" s="84"/>
      <c r="E3" s="84"/>
      <c r="F3" s="84"/>
      <c r="G3" s="84"/>
      <c r="H3" s="84"/>
      <c r="I3" s="84"/>
      <c r="J3" s="88"/>
      <c r="K3" s="89"/>
      <c r="L3" s="92"/>
      <c r="M3" s="93"/>
    </row>
    <row r="4" spans="1:13">
      <c r="A4" s="85"/>
      <c r="B4" s="85"/>
      <c r="C4" s="85"/>
      <c r="D4" s="85"/>
      <c r="E4" s="85"/>
      <c r="F4" s="85"/>
      <c r="G4" s="85"/>
      <c r="H4" s="85"/>
      <c r="I4" s="85"/>
      <c r="J4" s="29" t="s">
        <v>76</v>
      </c>
      <c r="K4" s="29" t="s">
        <v>77</v>
      </c>
      <c r="L4" s="29" t="s">
        <v>76</v>
      </c>
      <c r="M4" s="29" t="s">
        <v>77</v>
      </c>
    </row>
    <row r="5" spans="1:13">
      <c r="A5" s="29">
        <v>1</v>
      </c>
      <c r="B5" s="32" t="s">
        <v>110</v>
      </c>
      <c r="C5" s="29">
        <f>SUM(C6:C12)</f>
        <v>2</v>
      </c>
      <c r="D5" s="29">
        <f>SUM(D6:D12)</f>
        <v>5</v>
      </c>
      <c r="E5" s="29">
        <f>SUM(E6:E12)</f>
        <v>54</v>
      </c>
      <c r="F5" s="29">
        <f>SUM(F6:F12)</f>
        <v>61</v>
      </c>
      <c r="G5" s="29"/>
      <c r="H5" s="29"/>
      <c r="I5" s="29"/>
      <c r="J5" s="29"/>
      <c r="K5" s="29"/>
      <c r="L5" s="29"/>
      <c r="M5" s="29"/>
    </row>
    <row r="6" spans="1:13">
      <c r="A6" s="29" t="s">
        <v>111</v>
      </c>
      <c r="B6" s="33" t="s">
        <v>112</v>
      </c>
      <c r="C6" s="29">
        <v>1</v>
      </c>
      <c r="D6" s="29"/>
      <c r="E6" s="29"/>
      <c r="F6" s="29">
        <f t="shared" ref="F6:F10" si="0">SUM(C6:E6)</f>
        <v>1</v>
      </c>
      <c r="G6" s="29"/>
      <c r="H6" s="29"/>
      <c r="I6" s="29"/>
      <c r="J6" s="29"/>
      <c r="K6" s="29"/>
      <c r="L6" s="29"/>
      <c r="M6" s="29"/>
    </row>
    <row r="7" spans="1:13">
      <c r="A7" s="29" t="s">
        <v>111</v>
      </c>
      <c r="B7" s="33" t="s">
        <v>113</v>
      </c>
      <c r="C7" s="29"/>
      <c r="D7" s="29">
        <v>1</v>
      </c>
      <c r="E7" s="29"/>
      <c r="F7" s="29">
        <f t="shared" si="0"/>
        <v>1</v>
      </c>
      <c r="G7" s="29"/>
      <c r="H7" s="29"/>
      <c r="I7" s="29"/>
      <c r="J7" s="29"/>
      <c r="K7" s="29"/>
      <c r="L7" s="29"/>
      <c r="M7" s="29"/>
    </row>
    <row r="8" spans="1:13">
      <c r="A8" s="29" t="s">
        <v>111</v>
      </c>
      <c r="B8" s="34" t="s">
        <v>114</v>
      </c>
      <c r="C8" s="29"/>
      <c r="D8" s="29">
        <v>1</v>
      </c>
      <c r="E8" s="29"/>
      <c r="F8" s="29">
        <f t="shared" si="0"/>
        <v>1</v>
      </c>
      <c r="G8" s="29"/>
      <c r="H8" s="29"/>
      <c r="I8" s="29"/>
      <c r="J8" s="29"/>
      <c r="K8" s="29"/>
      <c r="L8" s="29"/>
      <c r="M8" s="29"/>
    </row>
    <row r="9" spans="1:13">
      <c r="A9" s="29" t="s">
        <v>111</v>
      </c>
      <c r="B9" s="33" t="s">
        <v>115</v>
      </c>
      <c r="C9" s="29"/>
      <c r="D9" s="29">
        <v>1</v>
      </c>
      <c r="E9" s="29"/>
      <c r="F9" s="29">
        <f t="shared" si="0"/>
        <v>1</v>
      </c>
      <c r="G9" s="29"/>
      <c r="H9" s="29"/>
      <c r="I9" s="29"/>
      <c r="J9" s="29"/>
      <c r="K9" s="29"/>
      <c r="L9" s="29"/>
      <c r="M9" s="29"/>
    </row>
    <row r="10" spans="1:13">
      <c r="A10" s="29" t="s">
        <v>111</v>
      </c>
      <c r="B10" s="33" t="s">
        <v>116</v>
      </c>
      <c r="C10" s="29"/>
      <c r="D10" s="29">
        <v>1</v>
      </c>
      <c r="E10" s="29">
        <v>2</v>
      </c>
      <c r="F10" s="29">
        <f t="shared" si="0"/>
        <v>3</v>
      </c>
      <c r="G10" s="29"/>
      <c r="H10" s="29"/>
      <c r="I10" s="29"/>
      <c r="J10" s="29"/>
      <c r="K10" s="29"/>
      <c r="L10" s="29"/>
      <c r="M10" s="29"/>
    </row>
    <row r="11" spans="1:13">
      <c r="A11" s="29" t="s">
        <v>111</v>
      </c>
      <c r="B11" s="33" t="s">
        <v>117</v>
      </c>
      <c r="C11" s="29">
        <v>1</v>
      </c>
      <c r="D11" s="29"/>
      <c r="E11" s="29">
        <v>27</v>
      </c>
      <c r="F11" s="29">
        <f>SUM(C11:E11)</f>
        <v>28</v>
      </c>
      <c r="G11" s="29"/>
      <c r="H11" s="29"/>
      <c r="I11" s="29"/>
      <c r="J11" s="29"/>
      <c r="K11" s="29"/>
      <c r="L11" s="29"/>
      <c r="M11" s="29"/>
    </row>
    <row r="12" spans="1:13">
      <c r="A12" s="35" t="s">
        <v>111</v>
      </c>
      <c r="B12" s="36" t="s">
        <v>118</v>
      </c>
      <c r="C12" s="37"/>
      <c r="D12" s="37">
        <v>1</v>
      </c>
      <c r="E12" s="37">
        <v>25</v>
      </c>
      <c r="F12" s="29">
        <f>SUM(C12:E12)</f>
        <v>26</v>
      </c>
      <c r="G12" s="37"/>
      <c r="H12" s="37"/>
      <c r="I12" s="37"/>
      <c r="J12" s="37"/>
      <c r="K12" s="37"/>
      <c r="L12" s="37"/>
      <c r="M12" s="37"/>
    </row>
    <row r="13" spans="1:13">
      <c r="A13" s="29">
        <v>2</v>
      </c>
      <c r="B13" s="38" t="s">
        <v>119</v>
      </c>
      <c r="C13" s="29">
        <f>C14+C15+C16</f>
        <v>1</v>
      </c>
      <c r="D13" s="29">
        <f>D14+D15+D16</f>
        <v>4</v>
      </c>
      <c r="E13" s="29">
        <f>E14+E15+E16</f>
        <v>29</v>
      </c>
      <c r="F13" s="29">
        <f>F14+F15+F16</f>
        <v>34</v>
      </c>
      <c r="G13" s="38"/>
      <c r="H13" s="38"/>
      <c r="I13" s="38"/>
      <c r="J13" s="38"/>
      <c r="K13" s="38"/>
      <c r="L13" s="38"/>
      <c r="M13" s="38"/>
    </row>
    <row r="14" spans="1:13">
      <c r="A14" s="29" t="s">
        <v>111</v>
      </c>
      <c r="B14" s="33" t="s">
        <v>120</v>
      </c>
      <c r="C14" s="29"/>
      <c r="D14" s="29">
        <v>1</v>
      </c>
      <c r="E14" s="29">
        <v>2</v>
      </c>
      <c r="F14" s="29">
        <f>SUM(C14:E14)</f>
        <v>3</v>
      </c>
      <c r="G14" s="38"/>
      <c r="H14" s="38"/>
      <c r="I14" s="38"/>
      <c r="J14" s="38"/>
      <c r="K14" s="38"/>
      <c r="L14" s="38"/>
      <c r="M14" s="38"/>
    </row>
    <row r="15" spans="1:13">
      <c r="A15" s="29" t="s">
        <v>111</v>
      </c>
      <c r="B15" s="39" t="s">
        <v>121</v>
      </c>
      <c r="C15" s="40">
        <v>1</v>
      </c>
      <c r="D15" s="40"/>
      <c r="E15" s="40">
        <v>27</v>
      </c>
      <c r="F15" s="29">
        <f>SUM(C15:E15)</f>
        <v>28</v>
      </c>
      <c r="G15" s="31"/>
      <c r="H15" s="31"/>
      <c r="I15" s="31"/>
      <c r="J15" s="31"/>
      <c r="K15" s="31"/>
      <c r="L15" s="31"/>
      <c r="M15" s="31"/>
    </row>
    <row r="16" spans="1:13">
      <c r="A16" s="40" t="s">
        <v>111</v>
      </c>
      <c r="B16" s="41" t="s">
        <v>122</v>
      </c>
      <c r="C16" s="40"/>
      <c r="D16" s="40">
        <v>3</v>
      </c>
      <c r="E16" s="40"/>
      <c r="F16" s="29">
        <f>SUM(C16:E16)</f>
        <v>3</v>
      </c>
      <c r="G16" s="31"/>
      <c r="H16" s="31"/>
      <c r="I16" s="31"/>
      <c r="J16" s="31"/>
      <c r="K16" s="31"/>
      <c r="L16" s="31"/>
      <c r="M16" s="31"/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FD24-F416-4E13-BF3D-CA2831AC61D2}">
  <dimension ref="A1:M57"/>
  <sheetViews>
    <sheetView topLeftCell="A49" zoomScale="85" zoomScaleNormal="85" workbookViewId="0">
      <selection activeCell="B3" sqref="A3:XFD3"/>
    </sheetView>
  </sheetViews>
  <sheetFormatPr defaultRowHeight="14.4"/>
  <cols>
    <col min="2" max="2" width="16.6640625" customWidth="1"/>
    <col min="3" max="3" width="9.44140625" customWidth="1"/>
  </cols>
  <sheetData>
    <row r="1" spans="1:13" ht="15.45" customHeight="1" thickBot="1">
      <c r="A1" s="57" t="s">
        <v>63</v>
      </c>
      <c r="B1" s="57" t="s">
        <v>78</v>
      </c>
      <c r="C1" s="57" t="s">
        <v>79</v>
      </c>
      <c r="D1" s="57" t="s">
        <v>80</v>
      </c>
      <c r="E1" s="54" t="s">
        <v>43</v>
      </c>
      <c r="F1" s="55"/>
      <c r="G1" s="55"/>
      <c r="H1" s="56"/>
      <c r="I1" s="57" t="s">
        <v>81</v>
      </c>
      <c r="J1" s="54" t="s">
        <v>82</v>
      </c>
      <c r="K1" s="55"/>
      <c r="L1" s="55"/>
      <c r="M1" s="56"/>
    </row>
    <row r="2" spans="1:13" ht="31.8" thickBot="1">
      <c r="A2" s="58"/>
      <c r="B2" s="58"/>
      <c r="C2" s="58"/>
      <c r="D2" s="58"/>
      <c r="E2" s="42" t="s">
        <v>83</v>
      </c>
      <c r="F2" s="42" t="s">
        <v>49</v>
      </c>
      <c r="G2" s="42" t="s">
        <v>84</v>
      </c>
      <c r="H2" s="42" t="s">
        <v>85</v>
      </c>
      <c r="I2" s="58"/>
      <c r="J2" s="42" t="s">
        <v>86</v>
      </c>
      <c r="K2" s="42" t="s">
        <v>87</v>
      </c>
      <c r="L2" s="42" t="s">
        <v>88</v>
      </c>
      <c r="M2" s="42" t="s">
        <v>89</v>
      </c>
    </row>
    <row r="3" spans="1:13" ht="36.450000000000003" customHeight="1" thickBot="1">
      <c r="A3" s="50" t="s">
        <v>90</v>
      </c>
      <c r="B3" s="43" t="s">
        <v>91</v>
      </c>
      <c r="C3" s="44" t="s">
        <v>50</v>
      </c>
      <c r="D3" s="44">
        <f>'[1]1. QS, TBKT'!M19</f>
        <v>9</v>
      </c>
      <c r="E3" s="45">
        <v>9</v>
      </c>
      <c r="F3" s="45">
        <v>9</v>
      </c>
      <c r="G3" s="44">
        <f>IFERROR(E3/D3,0)</f>
        <v>1</v>
      </c>
      <c r="H3" s="44">
        <f>IFERROR(F3/E3,0)</f>
        <v>1</v>
      </c>
      <c r="I3" s="44">
        <f>D3</f>
        <v>9</v>
      </c>
      <c r="J3" s="44">
        <f>D3-E3</f>
        <v>0</v>
      </c>
      <c r="K3" s="30"/>
      <c r="L3" s="30"/>
      <c r="M3" s="30"/>
    </row>
    <row r="4" spans="1:13" ht="18.600000000000001" thickBot="1">
      <c r="A4" s="51"/>
      <c r="B4" s="46" t="s">
        <v>92</v>
      </c>
      <c r="C4" s="44" t="s">
        <v>50</v>
      </c>
      <c r="D4" s="47">
        <f>'[1]1. QS, TBKT'!K19</f>
        <v>4</v>
      </c>
      <c r="E4" s="45">
        <v>4</v>
      </c>
      <c r="F4" s="45">
        <v>4</v>
      </c>
      <c r="G4" s="44">
        <f t="shared" ref="G4:H57" si="0">IFERROR(E4/D4,0)</f>
        <v>1</v>
      </c>
      <c r="H4" s="44">
        <f t="shared" si="0"/>
        <v>1</v>
      </c>
      <c r="I4" s="44">
        <f t="shared" ref="I4:I57" si="1">D4</f>
        <v>4</v>
      </c>
      <c r="J4" s="44">
        <f t="shared" ref="J4:J57" si="2">D4-E4</f>
        <v>0</v>
      </c>
      <c r="K4" s="30"/>
      <c r="L4" s="30"/>
      <c r="M4" s="30"/>
    </row>
    <row r="5" spans="1:13" ht="18.600000000000001" thickBot="1">
      <c r="A5" s="51"/>
      <c r="B5" s="46" t="s">
        <v>93</v>
      </c>
      <c r="C5" s="44" t="s">
        <v>50</v>
      </c>
      <c r="D5" s="47">
        <f>'[1]1. QS, TBKT'!J19</f>
        <v>4</v>
      </c>
      <c r="E5" s="45">
        <v>4</v>
      </c>
      <c r="F5" s="45">
        <v>4</v>
      </c>
      <c r="G5" s="44">
        <f t="shared" si="0"/>
        <v>1</v>
      </c>
      <c r="H5" s="44">
        <f t="shared" si="0"/>
        <v>1</v>
      </c>
      <c r="I5" s="44">
        <f t="shared" si="1"/>
        <v>4</v>
      </c>
      <c r="J5" s="44">
        <f>D5-E5</f>
        <v>0</v>
      </c>
      <c r="K5" s="30"/>
      <c r="L5" s="30"/>
      <c r="M5" s="30"/>
    </row>
    <row r="6" spans="1:13" ht="18.600000000000001" thickBot="1">
      <c r="A6" s="51"/>
      <c r="B6" s="46" t="s">
        <v>94</v>
      </c>
      <c r="C6" s="44" t="s">
        <v>50</v>
      </c>
      <c r="D6" s="47">
        <f>'[1]1. QS, TBKT'!I19</f>
        <v>6</v>
      </c>
      <c r="E6" s="45">
        <v>6</v>
      </c>
      <c r="F6" s="45">
        <v>6</v>
      </c>
      <c r="G6" s="44">
        <f t="shared" si="0"/>
        <v>1</v>
      </c>
      <c r="H6" s="44">
        <f t="shared" si="0"/>
        <v>1</v>
      </c>
      <c r="I6" s="44">
        <f t="shared" si="1"/>
        <v>6</v>
      </c>
      <c r="J6" s="44">
        <f t="shared" si="2"/>
        <v>0</v>
      </c>
      <c r="K6" s="30"/>
      <c r="L6" s="30"/>
      <c r="M6" s="30"/>
    </row>
    <row r="7" spans="1:13" ht="18.600000000000001" thickBot="1">
      <c r="A7" s="51"/>
      <c r="B7" s="46" t="s">
        <v>95</v>
      </c>
      <c r="C7" s="44" t="s">
        <v>50</v>
      </c>
      <c r="D7" s="47">
        <f>'[1]1. QS, TBKT'!L19</f>
        <v>9</v>
      </c>
      <c r="E7" s="45">
        <v>9</v>
      </c>
      <c r="F7" s="45">
        <v>9</v>
      </c>
      <c r="G7" s="44">
        <f t="shared" si="0"/>
        <v>1</v>
      </c>
      <c r="H7" s="44">
        <f t="shared" si="0"/>
        <v>1</v>
      </c>
      <c r="I7" s="44">
        <f t="shared" si="1"/>
        <v>9</v>
      </c>
      <c r="J7" s="44">
        <f t="shared" si="2"/>
        <v>0</v>
      </c>
      <c r="K7" s="30"/>
      <c r="L7" s="30"/>
      <c r="M7" s="30"/>
    </row>
    <row r="8" spans="1:13" ht="36.6" thickBot="1">
      <c r="A8" s="51"/>
      <c r="B8" s="46" t="s">
        <v>96</v>
      </c>
      <c r="C8" s="44" t="s">
        <v>50</v>
      </c>
      <c r="D8" s="47">
        <f>'[1]1. QS, TBKT'!G19</f>
        <v>54</v>
      </c>
      <c r="E8" s="45">
        <v>54</v>
      </c>
      <c r="F8" s="45">
        <v>54</v>
      </c>
      <c r="G8" s="44">
        <f t="shared" si="0"/>
        <v>1</v>
      </c>
      <c r="H8" s="44">
        <f t="shared" si="0"/>
        <v>1</v>
      </c>
      <c r="I8" s="44">
        <f t="shared" si="1"/>
        <v>54</v>
      </c>
      <c r="J8" s="44">
        <f t="shared" si="2"/>
        <v>0</v>
      </c>
      <c r="K8" s="30" t="s">
        <v>106</v>
      </c>
      <c r="L8" s="30" t="s">
        <v>107</v>
      </c>
      <c r="M8" s="30" t="s">
        <v>108</v>
      </c>
    </row>
    <row r="9" spans="1:13" ht="18.600000000000001" thickBot="1">
      <c r="A9" s="51"/>
      <c r="B9" s="46" t="s">
        <v>97</v>
      </c>
      <c r="C9" s="44" t="s">
        <v>50</v>
      </c>
      <c r="D9" s="47">
        <f>'[1]1. QS, TBKT'!F19</f>
        <v>6</v>
      </c>
      <c r="E9" s="45">
        <v>6</v>
      </c>
      <c r="F9" s="45">
        <v>6</v>
      </c>
      <c r="G9" s="44">
        <f t="shared" si="0"/>
        <v>1</v>
      </c>
      <c r="H9" s="44">
        <f t="shared" si="0"/>
        <v>1</v>
      </c>
      <c r="I9" s="44">
        <f t="shared" si="1"/>
        <v>6</v>
      </c>
      <c r="J9" s="44">
        <f t="shared" si="2"/>
        <v>0</v>
      </c>
      <c r="K9" s="30"/>
      <c r="L9" s="30"/>
      <c r="M9" s="30"/>
    </row>
    <row r="10" spans="1:13" ht="18.600000000000001" thickBot="1">
      <c r="A10" s="51"/>
      <c r="B10" s="46" t="s">
        <v>98</v>
      </c>
      <c r="C10" s="44" t="s">
        <v>50</v>
      </c>
      <c r="D10" s="47">
        <f>'[1]1. QS, TBKT'!E19</f>
        <v>27</v>
      </c>
      <c r="E10" s="45">
        <v>27</v>
      </c>
      <c r="F10" s="45">
        <v>27</v>
      </c>
      <c r="G10" s="44">
        <f t="shared" si="0"/>
        <v>1</v>
      </c>
      <c r="H10" s="44">
        <f t="shared" si="0"/>
        <v>1</v>
      </c>
      <c r="I10" s="44">
        <f t="shared" si="1"/>
        <v>27</v>
      </c>
      <c r="J10" s="44">
        <f t="shared" si="2"/>
        <v>0</v>
      </c>
      <c r="K10" s="30"/>
      <c r="L10" s="30"/>
      <c r="M10" s="30"/>
    </row>
    <row r="11" spans="1:13" ht="36.6" thickBot="1">
      <c r="A11" s="51"/>
      <c r="B11" s="46" t="s">
        <v>99</v>
      </c>
      <c r="C11" s="44" t="s">
        <v>50</v>
      </c>
      <c r="D11" s="47">
        <f>'[1]1. QS, TBKT'!D19</f>
        <v>439</v>
      </c>
      <c r="E11" s="45">
        <v>439</v>
      </c>
      <c r="F11" s="45">
        <v>439</v>
      </c>
      <c r="G11" s="44">
        <f t="shared" si="0"/>
        <v>1</v>
      </c>
      <c r="H11" s="44">
        <f t="shared" si="0"/>
        <v>1</v>
      </c>
      <c r="I11" s="44">
        <f t="shared" si="1"/>
        <v>439</v>
      </c>
      <c r="J11" s="44">
        <f t="shared" si="2"/>
        <v>0</v>
      </c>
      <c r="K11" s="30" t="s">
        <v>106</v>
      </c>
      <c r="L11" s="30" t="s">
        <v>107</v>
      </c>
      <c r="M11" s="30" t="s">
        <v>108</v>
      </c>
    </row>
    <row r="12" spans="1:13" ht="18.600000000000001" thickBot="1">
      <c r="A12" s="51"/>
      <c r="B12" s="46" t="s">
        <v>100</v>
      </c>
      <c r="C12" s="44" t="s">
        <v>50</v>
      </c>
      <c r="D12" s="47">
        <f>'[1]1. QS, TBKT'!C19</f>
        <v>36</v>
      </c>
      <c r="E12" s="45">
        <v>36</v>
      </c>
      <c r="F12" s="45">
        <v>36</v>
      </c>
      <c r="G12" s="44">
        <f t="shared" si="0"/>
        <v>1</v>
      </c>
      <c r="H12" s="44">
        <f t="shared" si="0"/>
        <v>1</v>
      </c>
      <c r="I12" s="44">
        <f t="shared" si="1"/>
        <v>36</v>
      </c>
      <c r="J12" s="44">
        <f t="shared" si="2"/>
        <v>0</v>
      </c>
      <c r="K12" s="30"/>
      <c r="L12" s="30"/>
      <c r="M12" s="30"/>
    </row>
    <row r="13" spans="1:13" ht="18.600000000000001" thickBot="1">
      <c r="A13" s="52"/>
      <c r="B13" s="46" t="s">
        <v>5</v>
      </c>
      <c r="C13" s="44" t="s">
        <v>101</v>
      </c>
      <c r="D13" s="48">
        <f>'[1]1. QS, TBKT'!H19</f>
        <v>2073</v>
      </c>
      <c r="E13" s="49">
        <v>2073</v>
      </c>
      <c r="F13" s="49">
        <v>2073</v>
      </c>
      <c r="G13" s="44">
        <f t="shared" si="0"/>
        <v>1</v>
      </c>
      <c r="H13" s="44">
        <f t="shared" si="0"/>
        <v>1</v>
      </c>
      <c r="I13" s="44">
        <f t="shared" si="1"/>
        <v>2073</v>
      </c>
      <c r="J13" s="44">
        <f t="shared" si="2"/>
        <v>0</v>
      </c>
      <c r="K13" s="30"/>
      <c r="L13" s="30"/>
      <c r="M13" s="30"/>
    </row>
    <row r="14" spans="1:13" ht="36.450000000000003" customHeight="1" thickBot="1">
      <c r="A14" s="50" t="s">
        <v>102</v>
      </c>
      <c r="B14" s="43" t="s">
        <v>91</v>
      </c>
      <c r="C14" s="44" t="s">
        <v>50</v>
      </c>
      <c r="D14" s="44">
        <f>'[1]1. QS, TBKT'!M36</f>
        <v>3</v>
      </c>
      <c r="E14" s="45">
        <v>3</v>
      </c>
      <c r="F14" s="45">
        <v>3</v>
      </c>
      <c r="G14" s="44">
        <f t="shared" si="0"/>
        <v>1</v>
      </c>
      <c r="H14" s="44">
        <f t="shared" si="0"/>
        <v>1</v>
      </c>
      <c r="I14" s="44">
        <f t="shared" si="1"/>
        <v>3</v>
      </c>
      <c r="J14" s="44">
        <f t="shared" si="2"/>
        <v>0</v>
      </c>
      <c r="K14" s="30"/>
      <c r="L14" s="30"/>
      <c r="M14" s="30"/>
    </row>
    <row r="15" spans="1:13" ht="18.600000000000001" thickBot="1">
      <c r="A15" s="51"/>
      <c r="B15" s="46" t="s">
        <v>92</v>
      </c>
      <c r="C15" s="44" t="s">
        <v>50</v>
      </c>
      <c r="D15" s="47">
        <f>'[1]1. QS, TBKT'!K36</f>
        <v>0</v>
      </c>
      <c r="E15" s="45">
        <v>0</v>
      </c>
      <c r="F15" s="45">
        <v>0</v>
      </c>
      <c r="G15" s="44">
        <f t="shared" si="0"/>
        <v>0</v>
      </c>
      <c r="H15" s="44">
        <f t="shared" si="0"/>
        <v>0</v>
      </c>
      <c r="I15" s="44">
        <f t="shared" si="1"/>
        <v>0</v>
      </c>
      <c r="J15" s="44">
        <f t="shared" si="2"/>
        <v>0</v>
      </c>
      <c r="K15" s="30"/>
      <c r="L15" s="30"/>
      <c r="M15" s="30"/>
    </row>
    <row r="16" spans="1:13" ht="18.600000000000001" thickBot="1">
      <c r="A16" s="51"/>
      <c r="B16" s="46" t="s">
        <v>93</v>
      </c>
      <c r="C16" s="44" t="s">
        <v>50</v>
      </c>
      <c r="D16" s="47">
        <f>'[1]1. QS, TBKT'!J36</f>
        <v>3</v>
      </c>
      <c r="E16" s="45">
        <v>3</v>
      </c>
      <c r="F16" s="45">
        <v>3</v>
      </c>
      <c r="G16" s="44">
        <f t="shared" si="0"/>
        <v>1</v>
      </c>
      <c r="H16" s="44">
        <f t="shared" si="0"/>
        <v>1</v>
      </c>
      <c r="I16" s="44">
        <f t="shared" si="1"/>
        <v>3</v>
      </c>
      <c r="J16" s="44">
        <f t="shared" si="2"/>
        <v>0</v>
      </c>
      <c r="K16" s="30"/>
      <c r="L16" s="30"/>
      <c r="M16" s="30"/>
    </row>
    <row r="17" spans="1:13" ht="18.600000000000001" thickBot="1">
      <c r="A17" s="51"/>
      <c r="B17" s="46" t="s">
        <v>94</v>
      </c>
      <c r="C17" s="44" t="s">
        <v>50</v>
      </c>
      <c r="D17" s="47">
        <f>'[1]1. QS, TBKT'!I36</f>
        <v>4</v>
      </c>
      <c r="E17" s="45">
        <v>4</v>
      </c>
      <c r="F17" s="45">
        <v>4</v>
      </c>
      <c r="G17" s="44">
        <f t="shared" si="0"/>
        <v>1</v>
      </c>
      <c r="H17" s="44">
        <f t="shared" si="0"/>
        <v>1</v>
      </c>
      <c r="I17" s="44">
        <f t="shared" si="1"/>
        <v>4</v>
      </c>
      <c r="J17" s="44">
        <f t="shared" si="2"/>
        <v>0</v>
      </c>
      <c r="K17" s="30"/>
      <c r="L17" s="30"/>
      <c r="M17" s="30"/>
    </row>
    <row r="18" spans="1:13" ht="36.6" thickBot="1">
      <c r="A18" s="51"/>
      <c r="B18" s="46" t="s">
        <v>95</v>
      </c>
      <c r="C18" s="44" t="s">
        <v>50</v>
      </c>
      <c r="D18" s="47">
        <f>'[1]1. QS, TBKT'!L36</f>
        <v>3</v>
      </c>
      <c r="E18" s="45">
        <v>3</v>
      </c>
      <c r="F18" s="45">
        <v>3</v>
      </c>
      <c r="G18" s="44">
        <f t="shared" si="0"/>
        <v>1</v>
      </c>
      <c r="H18" s="44">
        <f t="shared" si="0"/>
        <v>1</v>
      </c>
      <c r="I18" s="44">
        <f t="shared" si="1"/>
        <v>3</v>
      </c>
      <c r="J18" s="44">
        <f t="shared" si="2"/>
        <v>0</v>
      </c>
      <c r="K18" s="30" t="s">
        <v>106</v>
      </c>
      <c r="L18" s="30" t="s">
        <v>107</v>
      </c>
      <c r="M18" s="30" t="s">
        <v>108</v>
      </c>
    </row>
    <row r="19" spans="1:13" ht="18.600000000000001" thickBot="1">
      <c r="A19" s="51"/>
      <c r="B19" s="46" t="s">
        <v>96</v>
      </c>
      <c r="C19" s="44" t="s">
        <v>50</v>
      </c>
      <c r="D19" s="47">
        <f>'[1]1. QS, TBKT'!G36</f>
        <v>30</v>
      </c>
      <c r="E19" s="45">
        <v>30</v>
      </c>
      <c r="F19" s="45">
        <v>30</v>
      </c>
      <c r="G19" s="44">
        <f t="shared" si="0"/>
        <v>1</v>
      </c>
      <c r="H19" s="44">
        <f t="shared" si="0"/>
        <v>1</v>
      </c>
      <c r="I19" s="44">
        <f t="shared" si="1"/>
        <v>30</v>
      </c>
      <c r="J19" s="44">
        <f t="shared" si="2"/>
        <v>0</v>
      </c>
      <c r="K19" s="30"/>
      <c r="L19" s="30"/>
      <c r="M19" s="30"/>
    </row>
    <row r="20" spans="1:13" ht="18.600000000000001" thickBot="1">
      <c r="A20" s="51"/>
      <c r="B20" s="46" t="s">
        <v>97</v>
      </c>
      <c r="C20" s="44" t="s">
        <v>50</v>
      </c>
      <c r="D20" s="47">
        <f>'[1]1. QS, TBKT'!F36</f>
        <v>4</v>
      </c>
      <c r="E20" s="45">
        <v>4</v>
      </c>
      <c r="F20" s="45">
        <v>4</v>
      </c>
      <c r="G20" s="44">
        <f t="shared" si="0"/>
        <v>1</v>
      </c>
      <c r="H20" s="44">
        <f t="shared" si="0"/>
        <v>1</v>
      </c>
      <c r="I20" s="44">
        <f t="shared" si="1"/>
        <v>4</v>
      </c>
      <c r="J20" s="44">
        <f t="shared" si="2"/>
        <v>0</v>
      </c>
      <c r="K20" s="30"/>
      <c r="L20" s="30"/>
      <c r="M20" s="30"/>
    </row>
    <row r="21" spans="1:13" ht="36.6" thickBot="1">
      <c r="A21" s="51"/>
      <c r="B21" s="46" t="s">
        <v>98</v>
      </c>
      <c r="C21" s="44" t="s">
        <v>50</v>
      </c>
      <c r="D21" s="47">
        <f>'[1]1. QS, TBKT'!E36</f>
        <v>15</v>
      </c>
      <c r="E21" s="45">
        <v>15</v>
      </c>
      <c r="F21" s="45">
        <v>15</v>
      </c>
      <c r="G21" s="44">
        <f t="shared" si="0"/>
        <v>1</v>
      </c>
      <c r="H21" s="44">
        <f t="shared" si="0"/>
        <v>1</v>
      </c>
      <c r="I21" s="44">
        <f t="shared" si="1"/>
        <v>15</v>
      </c>
      <c r="J21" s="44">
        <f t="shared" si="2"/>
        <v>0</v>
      </c>
      <c r="K21" s="30" t="s">
        <v>106</v>
      </c>
      <c r="L21" s="30" t="s">
        <v>107</v>
      </c>
      <c r="M21" s="30" t="s">
        <v>108</v>
      </c>
    </row>
    <row r="22" spans="1:13" ht="18.600000000000001" thickBot="1">
      <c r="A22" s="51"/>
      <c r="B22" s="46" t="s">
        <v>99</v>
      </c>
      <c r="C22" s="44" t="s">
        <v>50</v>
      </c>
      <c r="D22" s="47">
        <f>'[1]1. QS, TBKT'!D36</f>
        <v>157</v>
      </c>
      <c r="E22" s="45">
        <v>157</v>
      </c>
      <c r="F22" s="45">
        <v>157</v>
      </c>
      <c r="G22" s="44">
        <f t="shared" si="0"/>
        <v>1</v>
      </c>
      <c r="H22" s="44">
        <f t="shared" si="0"/>
        <v>1</v>
      </c>
      <c r="I22" s="44">
        <f t="shared" si="1"/>
        <v>157</v>
      </c>
      <c r="J22" s="44">
        <f t="shared" si="2"/>
        <v>0</v>
      </c>
      <c r="K22" s="30"/>
      <c r="L22" s="30"/>
      <c r="M22" s="30"/>
    </row>
    <row r="23" spans="1:13" ht="18.600000000000001" thickBot="1">
      <c r="A23" s="51"/>
      <c r="B23" s="46" t="s">
        <v>100</v>
      </c>
      <c r="C23" s="44" t="s">
        <v>50</v>
      </c>
      <c r="D23" s="47">
        <f>'[1]1. QS, TBKT'!C36</f>
        <v>12</v>
      </c>
      <c r="E23" s="45">
        <v>12</v>
      </c>
      <c r="F23" s="45">
        <v>12</v>
      </c>
      <c r="G23" s="44">
        <f t="shared" si="0"/>
        <v>1</v>
      </c>
      <c r="H23" s="44">
        <f t="shared" si="0"/>
        <v>1</v>
      </c>
      <c r="I23" s="44">
        <f t="shared" si="1"/>
        <v>12</v>
      </c>
      <c r="J23" s="44">
        <f t="shared" si="2"/>
        <v>0</v>
      </c>
      <c r="K23" s="30"/>
      <c r="L23" s="30"/>
      <c r="M23" s="30"/>
    </row>
    <row r="24" spans="1:13" ht="36.450000000000003" customHeight="1" thickBot="1">
      <c r="A24" s="52"/>
      <c r="B24" s="46" t="s">
        <v>5</v>
      </c>
      <c r="C24" s="44" t="s">
        <v>101</v>
      </c>
      <c r="D24" s="44">
        <f>'[1]1. QS, TBKT'!H36</f>
        <v>822</v>
      </c>
      <c r="E24" s="45">
        <v>822</v>
      </c>
      <c r="F24" s="45">
        <v>822</v>
      </c>
      <c r="G24" s="44">
        <f t="shared" si="0"/>
        <v>1</v>
      </c>
      <c r="H24" s="44">
        <f t="shared" si="0"/>
        <v>1</v>
      </c>
      <c r="I24" s="44">
        <f t="shared" si="1"/>
        <v>822</v>
      </c>
      <c r="J24" s="44">
        <f t="shared" si="2"/>
        <v>0</v>
      </c>
      <c r="K24" s="30"/>
      <c r="L24" s="30"/>
      <c r="M24" s="30"/>
    </row>
    <row r="25" spans="1:13" ht="36.6" thickBot="1">
      <c r="A25" s="50" t="s">
        <v>103</v>
      </c>
      <c r="B25" s="43" t="s">
        <v>91</v>
      </c>
      <c r="C25" s="44" t="s">
        <v>50</v>
      </c>
      <c r="D25" s="44">
        <f>'[1]1. QS, TBKT'!M48</f>
        <v>0</v>
      </c>
      <c r="E25" s="45">
        <v>0</v>
      </c>
      <c r="F25" s="45">
        <v>0</v>
      </c>
      <c r="G25" s="44">
        <f t="shared" si="0"/>
        <v>0</v>
      </c>
      <c r="H25" s="44">
        <f t="shared" si="0"/>
        <v>0</v>
      </c>
      <c r="I25" s="44">
        <f t="shared" si="1"/>
        <v>0</v>
      </c>
      <c r="J25" s="44">
        <f t="shared" si="2"/>
        <v>0</v>
      </c>
      <c r="K25" s="30"/>
      <c r="L25" s="30"/>
      <c r="M25" s="30"/>
    </row>
    <row r="26" spans="1:13" ht="18.600000000000001" thickBot="1">
      <c r="A26" s="51"/>
      <c r="B26" s="46" t="s">
        <v>92</v>
      </c>
      <c r="C26" s="44" t="s">
        <v>50</v>
      </c>
      <c r="D26" s="47">
        <f>'[1]1. QS, TBKT'!K48</f>
        <v>0</v>
      </c>
      <c r="E26" s="45">
        <v>0</v>
      </c>
      <c r="F26" s="45">
        <v>0</v>
      </c>
      <c r="G26" s="44">
        <f t="shared" si="0"/>
        <v>0</v>
      </c>
      <c r="H26" s="44">
        <f t="shared" si="0"/>
        <v>0</v>
      </c>
      <c r="I26" s="44">
        <f t="shared" si="1"/>
        <v>0</v>
      </c>
      <c r="J26" s="44">
        <f t="shared" si="2"/>
        <v>0</v>
      </c>
      <c r="K26" s="30"/>
      <c r="L26" s="30"/>
      <c r="M26" s="30"/>
    </row>
    <row r="27" spans="1:13" ht="18.600000000000001" thickBot="1">
      <c r="A27" s="51"/>
      <c r="B27" s="46" t="s">
        <v>93</v>
      </c>
      <c r="C27" s="44" t="s">
        <v>50</v>
      </c>
      <c r="D27" s="47">
        <f>'[1]1. QS, TBKT'!J48</f>
        <v>1</v>
      </c>
      <c r="E27" s="45">
        <v>1</v>
      </c>
      <c r="F27" s="45">
        <v>1</v>
      </c>
      <c r="G27" s="44">
        <f t="shared" si="0"/>
        <v>1</v>
      </c>
      <c r="H27" s="44">
        <f t="shared" si="0"/>
        <v>1</v>
      </c>
      <c r="I27" s="44">
        <f t="shared" si="1"/>
        <v>1</v>
      </c>
      <c r="J27" s="44">
        <f t="shared" si="2"/>
        <v>0</v>
      </c>
      <c r="K27" s="30"/>
      <c r="L27" s="30"/>
      <c r="M27" s="30"/>
    </row>
    <row r="28" spans="1:13" ht="18.600000000000001" thickBot="1">
      <c r="A28" s="51"/>
      <c r="B28" s="46" t="s">
        <v>94</v>
      </c>
      <c r="C28" s="44" t="s">
        <v>50</v>
      </c>
      <c r="D28" s="47">
        <f>'[1]1. QS, TBKT'!I48</f>
        <v>2</v>
      </c>
      <c r="E28" s="45">
        <v>2</v>
      </c>
      <c r="F28" s="45">
        <v>2</v>
      </c>
      <c r="G28" s="44">
        <f t="shared" si="0"/>
        <v>1</v>
      </c>
      <c r="H28" s="44">
        <f t="shared" si="0"/>
        <v>1</v>
      </c>
      <c r="I28" s="44">
        <f t="shared" si="1"/>
        <v>2</v>
      </c>
      <c r="J28" s="44">
        <f t="shared" si="2"/>
        <v>0</v>
      </c>
      <c r="K28" s="30"/>
      <c r="L28" s="30"/>
      <c r="M28" s="30"/>
    </row>
    <row r="29" spans="1:13" ht="18.600000000000001" thickBot="1">
      <c r="A29" s="51"/>
      <c r="B29" s="46" t="s">
        <v>95</v>
      </c>
      <c r="C29" s="44" t="s">
        <v>50</v>
      </c>
      <c r="D29" s="47">
        <f>'[1]1. QS, TBKT'!L48</f>
        <v>0</v>
      </c>
      <c r="E29" s="45">
        <v>0</v>
      </c>
      <c r="F29" s="45">
        <v>0</v>
      </c>
      <c r="G29" s="44">
        <f t="shared" si="0"/>
        <v>0</v>
      </c>
      <c r="H29" s="44">
        <f t="shared" si="0"/>
        <v>0</v>
      </c>
      <c r="I29" s="44">
        <f t="shared" si="1"/>
        <v>0</v>
      </c>
      <c r="J29" s="44">
        <f t="shared" si="2"/>
        <v>0</v>
      </c>
      <c r="K29" s="30"/>
      <c r="L29" s="30"/>
      <c r="M29" s="30"/>
    </row>
    <row r="30" spans="1:13" ht="18.45" customHeight="1" thickBot="1">
      <c r="A30" s="51"/>
      <c r="B30" s="46" t="s">
        <v>96</v>
      </c>
      <c r="C30" s="44" t="s">
        <v>50</v>
      </c>
      <c r="D30" s="47">
        <f>'[1]1. QS, TBKT'!G48</f>
        <v>18</v>
      </c>
      <c r="E30" s="45">
        <v>18</v>
      </c>
      <c r="F30" s="45">
        <v>18</v>
      </c>
      <c r="G30" s="44">
        <f t="shared" si="0"/>
        <v>1</v>
      </c>
      <c r="H30" s="44">
        <f t="shared" si="0"/>
        <v>1</v>
      </c>
      <c r="I30" s="44">
        <f t="shared" si="1"/>
        <v>18</v>
      </c>
      <c r="J30" s="44">
        <f t="shared" si="2"/>
        <v>0</v>
      </c>
      <c r="K30" s="30"/>
      <c r="L30" s="30"/>
      <c r="M30" s="30"/>
    </row>
    <row r="31" spans="1:13" ht="36.6" thickBot="1">
      <c r="A31" s="51"/>
      <c r="B31" s="46" t="s">
        <v>97</v>
      </c>
      <c r="C31" s="44" t="s">
        <v>50</v>
      </c>
      <c r="D31" s="47">
        <f>'[1]1. QS, TBKT'!F48</f>
        <v>2</v>
      </c>
      <c r="E31" s="45">
        <v>2</v>
      </c>
      <c r="F31" s="45">
        <v>2</v>
      </c>
      <c r="G31" s="44">
        <f t="shared" si="0"/>
        <v>1</v>
      </c>
      <c r="H31" s="44">
        <f t="shared" si="0"/>
        <v>1</v>
      </c>
      <c r="I31" s="44">
        <f t="shared" si="1"/>
        <v>2</v>
      </c>
      <c r="J31" s="44">
        <f t="shared" si="2"/>
        <v>0</v>
      </c>
      <c r="K31" s="30" t="s">
        <v>106</v>
      </c>
      <c r="L31" s="30" t="s">
        <v>107</v>
      </c>
      <c r="M31" s="30" t="s">
        <v>108</v>
      </c>
    </row>
    <row r="32" spans="1:13" ht="18.600000000000001" thickBot="1">
      <c r="A32" s="51"/>
      <c r="B32" s="46" t="s">
        <v>98</v>
      </c>
      <c r="C32" s="44" t="s">
        <v>50</v>
      </c>
      <c r="D32" s="47">
        <f>'[1]1. QS, TBKT'!E48</f>
        <v>9</v>
      </c>
      <c r="E32" s="45">
        <v>9</v>
      </c>
      <c r="F32" s="45">
        <v>9</v>
      </c>
      <c r="G32" s="44">
        <f t="shared" si="0"/>
        <v>1</v>
      </c>
      <c r="H32" s="44">
        <f t="shared" si="0"/>
        <v>1</v>
      </c>
      <c r="I32" s="44">
        <f t="shared" si="1"/>
        <v>9</v>
      </c>
      <c r="J32" s="44">
        <f t="shared" si="2"/>
        <v>0</v>
      </c>
      <c r="K32" s="30"/>
      <c r="L32" s="30"/>
      <c r="M32" s="30"/>
    </row>
    <row r="33" spans="1:13" ht="18.600000000000001" thickBot="1">
      <c r="A33" s="51"/>
      <c r="B33" s="46" t="s">
        <v>99</v>
      </c>
      <c r="C33" s="44" t="s">
        <v>101</v>
      </c>
      <c r="D33" s="47">
        <f>'[1]1. QS, TBKT'!D48</f>
        <v>75</v>
      </c>
      <c r="E33" s="45">
        <v>75</v>
      </c>
      <c r="F33" s="45">
        <v>75</v>
      </c>
      <c r="G33" s="44">
        <f t="shared" si="0"/>
        <v>1</v>
      </c>
      <c r="H33" s="44">
        <f t="shared" si="0"/>
        <v>1</v>
      </c>
      <c r="I33" s="44">
        <f t="shared" si="1"/>
        <v>75</v>
      </c>
      <c r="J33" s="44">
        <f t="shared" si="2"/>
        <v>0</v>
      </c>
      <c r="K33" s="30"/>
      <c r="L33" s="30"/>
      <c r="M33" s="30"/>
    </row>
    <row r="34" spans="1:13" ht="18.45" customHeight="1" thickBot="1">
      <c r="A34" s="51"/>
      <c r="B34" s="46" t="s">
        <v>100</v>
      </c>
      <c r="C34" s="44" t="s">
        <v>50</v>
      </c>
      <c r="D34" s="44">
        <f>'[1]1. QS, TBKT'!C48</f>
        <v>4</v>
      </c>
      <c r="E34" s="45">
        <v>4</v>
      </c>
      <c r="F34" s="45">
        <v>4</v>
      </c>
      <c r="G34" s="44">
        <f t="shared" si="0"/>
        <v>1</v>
      </c>
      <c r="H34" s="44">
        <f t="shared" si="0"/>
        <v>1</v>
      </c>
      <c r="I34" s="44">
        <f t="shared" si="1"/>
        <v>4</v>
      </c>
      <c r="J34" s="44">
        <f t="shared" si="2"/>
        <v>0</v>
      </c>
      <c r="K34" s="30"/>
      <c r="L34" s="30"/>
      <c r="M34" s="30"/>
    </row>
    <row r="35" spans="1:13" ht="18.600000000000001" thickBot="1">
      <c r="A35" s="52"/>
      <c r="B35" s="46" t="s">
        <v>5</v>
      </c>
      <c r="C35" s="44" t="s">
        <v>50</v>
      </c>
      <c r="D35" s="47">
        <f>'[1]1. QS, TBKT'!H48</f>
        <v>390</v>
      </c>
      <c r="E35" s="45">
        <v>390</v>
      </c>
      <c r="F35" s="45">
        <v>390</v>
      </c>
      <c r="G35" s="44">
        <f t="shared" si="0"/>
        <v>1</v>
      </c>
      <c r="H35" s="44">
        <f t="shared" si="0"/>
        <v>1</v>
      </c>
      <c r="I35" s="44">
        <f t="shared" si="1"/>
        <v>390</v>
      </c>
      <c r="J35" s="44">
        <f t="shared" si="2"/>
        <v>0</v>
      </c>
      <c r="K35" s="30"/>
      <c r="L35" s="30"/>
      <c r="M35" s="30"/>
    </row>
    <row r="36" spans="1:13" ht="36.6" thickBot="1">
      <c r="A36" s="50" t="s">
        <v>104</v>
      </c>
      <c r="B36" s="43" t="s">
        <v>91</v>
      </c>
      <c r="C36" s="44" t="s">
        <v>50</v>
      </c>
      <c r="D36" s="47">
        <f>'[1]1. QS, TBKT'!M59</f>
        <v>0</v>
      </c>
      <c r="E36" s="45">
        <v>0</v>
      </c>
      <c r="F36" s="45">
        <v>0</v>
      </c>
      <c r="G36" s="44">
        <f t="shared" si="0"/>
        <v>0</v>
      </c>
      <c r="H36" s="44">
        <f t="shared" si="0"/>
        <v>0</v>
      </c>
      <c r="I36" s="44">
        <f t="shared" si="1"/>
        <v>0</v>
      </c>
      <c r="J36" s="44">
        <f t="shared" si="2"/>
        <v>0</v>
      </c>
      <c r="K36" s="30"/>
      <c r="L36" s="30"/>
      <c r="M36" s="30"/>
    </row>
    <row r="37" spans="1:13" ht="18.600000000000001" thickBot="1">
      <c r="A37" s="51"/>
      <c r="B37" s="46" t="s">
        <v>92</v>
      </c>
      <c r="C37" s="44" t="s">
        <v>50</v>
      </c>
      <c r="D37" s="47">
        <f>'[1]1. QS, TBKT'!K59</f>
        <v>0</v>
      </c>
      <c r="E37" s="45">
        <v>0</v>
      </c>
      <c r="F37" s="45">
        <v>0</v>
      </c>
      <c r="G37" s="44">
        <f t="shared" si="0"/>
        <v>0</v>
      </c>
      <c r="H37" s="44">
        <f t="shared" si="0"/>
        <v>0</v>
      </c>
      <c r="I37" s="44">
        <f t="shared" si="1"/>
        <v>0</v>
      </c>
      <c r="J37" s="44">
        <f t="shared" si="2"/>
        <v>0</v>
      </c>
      <c r="K37" s="30"/>
      <c r="L37" s="30"/>
      <c r="M37" s="30"/>
    </row>
    <row r="38" spans="1:13" ht="18.600000000000001" thickBot="1">
      <c r="A38" s="51"/>
      <c r="B38" s="46" t="s">
        <v>93</v>
      </c>
      <c r="C38" s="44" t="s">
        <v>50</v>
      </c>
      <c r="D38" s="47">
        <f>'[1]1. QS, TBKT'!J59</f>
        <v>0</v>
      </c>
      <c r="E38" s="45">
        <v>0</v>
      </c>
      <c r="F38" s="45">
        <v>0</v>
      </c>
      <c r="G38" s="44">
        <f t="shared" si="0"/>
        <v>0</v>
      </c>
      <c r="H38" s="44">
        <f t="shared" si="0"/>
        <v>0</v>
      </c>
      <c r="I38" s="44">
        <f t="shared" si="1"/>
        <v>0</v>
      </c>
      <c r="J38" s="44">
        <f t="shared" si="2"/>
        <v>0</v>
      </c>
      <c r="K38" s="30"/>
      <c r="L38" s="30"/>
      <c r="M38" s="30"/>
    </row>
    <row r="39" spans="1:13" ht="18.600000000000001" thickBot="1">
      <c r="A39" s="51"/>
      <c r="B39" s="46" t="s">
        <v>94</v>
      </c>
      <c r="C39" s="44" t="s">
        <v>50</v>
      </c>
      <c r="D39" s="47">
        <f>'[1]1. QS, TBKT'!I59</f>
        <v>0</v>
      </c>
      <c r="E39" s="45">
        <v>0</v>
      </c>
      <c r="F39" s="45">
        <v>0</v>
      </c>
      <c r="G39" s="44">
        <f t="shared" si="0"/>
        <v>0</v>
      </c>
      <c r="H39" s="44">
        <f t="shared" si="0"/>
        <v>0</v>
      </c>
      <c r="I39" s="44">
        <f t="shared" si="1"/>
        <v>0</v>
      </c>
      <c r="J39" s="44">
        <f t="shared" si="2"/>
        <v>0</v>
      </c>
      <c r="K39" s="30"/>
      <c r="L39" s="30"/>
      <c r="M39" s="30"/>
    </row>
    <row r="40" spans="1:13" ht="18.600000000000001" thickBot="1">
      <c r="A40" s="51"/>
      <c r="B40" s="46" t="s">
        <v>95</v>
      </c>
      <c r="C40" s="44" t="s">
        <v>50</v>
      </c>
      <c r="D40" s="47">
        <f>'[1]1. QS, TBKT'!L59</f>
        <v>0</v>
      </c>
      <c r="E40" s="45">
        <v>0</v>
      </c>
      <c r="F40" s="45">
        <v>0</v>
      </c>
      <c r="G40" s="44">
        <f t="shared" si="0"/>
        <v>0</v>
      </c>
      <c r="H40" s="44">
        <f t="shared" si="0"/>
        <v>0</v>
      </c>
      <c r="I40" s="44">
        <f t="shared" si="1"/>
        <v>0</v>
      </c>
      <c r="J40" s="44">
        <f t="shared" si="2"/>
        <v>0</v>
      </c>
      <c r="K40" s="30"/>
      <c r="L40" s="30"/>
      <c r="M40" s="30"/>
    </row>
    <row r="41" spans="1:13" ht="36.450000000000003" customHeight="1" thickBot="1">
      <c r="A41" s="51"/>
      <c r="B41" s="46" t="s">
        <v>96</v>
      </c>
      <c r="C41" s="44" t="s">
        <v>50</v>
      </c>
      <c r="D41" s="44">
        <f>'[1]1. QS, TBKT'!G59</f>
        <v>6</v>
      </c>
      <c r="E41" s="45">
        <v>6</v>
      </c>
      <c r="F41" s="45">
        <v>6</v>
      </c>
      <c r="G41" s="44">
        <f t="shared" si="0"/>
        <v>1</v>
      </c>
      <c r="H41" s="44">
        <f t="shared" si="0"/>
        <v>1</v>
      </c>
      <c r="I41" s="44">
        <f t="shared" si="1"/>
        <v>6</v>
      </c>
      <c r="J41" s="44">
        <f t="shared" si="2"/>
        <v>0</v>
      </c>
      <c r="K41" s="30"/>
      <c r="L41" s="30"/>
      <c r="M41" s="30" t="s">
        <v>109</v>
      </c>
    </row>
    <row r="42" spans="1:13" ht="18.600000000000001" thickBot="1">
      <c r="A42" s="51"/>
      <c r="B42" s="46" t="s">
        <v>97</v>
      </c>
      <c r="C42" s="44" t="s">
        <v>50</v>
      </c>
      <c r="D42" s="47">
        <f>'[1]1. QS, TBKT'!F59</f>
        <v>0</v>
      </c>
      <c r="E42" s="45">
        <v>0</v>
      </c>
      <c r="F42" s="45">
        <v>0</v>
      </c>
      <c r="G42" s="44">
        <f t="shared" si="0"/>
        <v>0</v>
      </c>
      <c r="H42" s="44">
        <f t="shared" si="0"/>
        <v>0</v>
      </c>
      <c r="I42" s="44">
        <f t="shared" si="1"/>
        <v>0</v>
      </c>
      <c r="J42" s="44">
        <f t="shared" si="2"/>
        <v>0</v>
      </c>
      <c r="K42" s="30"/>
      <c r="L42" s="30"/>
      <c r="M42" s="30"/>
    </row>
    <row r="43" spans="1:13" ht="18.600000000000001" thickBot="1">
      <c r="A43" s="51"/>
      <c r="B43" s="46" t="s">
        <v>98</v>
      </c>
      <c r="C43" s="44" t="s">
        <v>50</v>
      </c>
      <c r="D43" s="47">
        <f>'[1]1. QS, TBKT'!E59</f>
        <v>3</v>
      </c>
      <c r="E43" s="45">
        <v>3</v>
      </c>
      <c r="F43" s="45">
        <v>3</v>
      </c>
      <c r="G43" s="44">
        <f t="shared" si="0"/>
        <v>1</v>
      </c>
      <c r="H43" s="44">
        <f t="shared" si="0"/>
        <v>1</v>
      </c>
      <c r="I43" s="44">
        <f t="shared" si="1"/>
        <v>3</v>
      </c>
      <c r="J43" s="44">
        <f t="shared" si="2"/>
        <v>0</v>
      </c>
      <c r="K43" s="30"/>
      <c r="L43" s="30"/>
      <c r="M43" s="30"/>
    </row>
    <row r="44" spans="1:13" ht="18.600000000000001" thickBot="1">
      <c r="A44" s="51"/>
      <c r="B44" s="46" t="s">
        <v>99</v>
      </c>
      <c r="C44" s="44" t="s">
        <v>50</v>
      </c>
      <c r="D44" s="47">
        <f>'[1]1. QS, TBKT'!D59</f>
        <v>20</v>
      </c>
      <c r="E44" s="45">
        <v>20</v>
      </c>
      <c r="F44" s="45">
        <v>20</v>
      </c>
      <c r="G44" s="44">
        <f t="shared" si="0"/>
        <v>1</v>
      </c>
      <c r="H44" s="44">
        <f t="shared" si="0"/>
        <v>1</v>
      </c>
      <c r="I44" s="44">
        <f t="shared" si="1"/>
        <v>20</v>
      </c>
      <c r="J44" s="44">
        <f t="shared" si="2"/>
        <v>0</v>
      </c>
      <c r="K44" s="30"/>
      <c r="L44" s="30"/>
      <c r="M44" s="30"/>
    </row>
    <row r="45" spans="1:13" ht="18.600000000000001" thickBot="1">
      <c r="A45" s="51"/>
      <c r="B45" s="46" t="s">
        <v>100</v>
      </c>
      <c r="C45" s="44" t="s">
        <v>50</v>
      </c>
      <c r="D45" s="47">
        <f>'[1]1. QS, TBKT'!C59</f>
        <v>0</v>
      </c>
      <c r="E45" s="45">
        <v>0</v>
      </c>
      <c r="F45" s="45">
        <v>0</v>
      </c>
      <c r="G45" s="44">
        <f t="shared" si="0"/>
        <v>0</v>
      </c>
      <c r="H45" s="44">
        <f t="shared" si="0"/>
        <v>0</v>
      </c>
      <c r="I45" s="44">
        <f t="shared" si="1"/>
        <v>0</v>
      </c>
      <c r="J45" s="44">
        <f t="shared" si="2"/>
        <v>0</v>
      </c>
      <c r="K45" s="30"/>
      <c r="L45" s="30"/>
      <c r="M45" s="30"/>
    </row>
    <row r="46" spans="1:13" ht="18.600000000000001" thickBot="1">
      <c r="A46" s="51"/>
      <c r="B46" s="46" t="s">
        <v>5</v>
      </c>
      <c r="C46" s="44" t="s">
        <v>101</v>
      </c>
      <c r="D46" s="47">
        <f>'[1]1. QS, TBKT'!H59</f>
        <v>102</v>
      </c>
      <c r="E46" s="45">
        <v>102</v>
      </c>
      <c r="F46" s="45">
        <v>102</v>
      </c>
      <c r="G46" s="44">
        <f t="shared" si="0"/>
        <v>1</v>
      </c>
      <c r="H46" s="44">
        <f t="shared" si="0"/>
        <v>1</v>
      </c>
      <c r="I46" s="44">
        <f t="shared" si="1"/>
        <v>102</v>
      </c>
      <c r="J46" s="44">
        <f t="shared" si="2"/>
        <v>0</v>
      </c>
      <c r="K46" s="30"/>
      <c r="L46" s="30"/>
      <c r="M46" s="30"/>
    </row>
    <row r="47" spans="1:13" ht="36.6" thickBot="1">
      <c r="A47" s="53" t="s">
        <v>105</v>
      </c>
      <c r="B47" s="43" t="s">
        <v>91</v>
      </c>
      <c r="C47" s="44" t="s">
        <v>50</v>
      </c>
      <c r="D47" s="47">
        <f>'[1]1. QS, TBKT'!M78</f>
        <v>6</v>
      </c>
      <c r="E47" s="45">
        <v>6</v>
      </c>
      <c r="F47" s="45">
        <v>6</v>
      </c>
      <c r="G47" s="44">
        <f t="shared" si="0"/>
        <v>1</v>
      </c>
      <c r="H47" s="44">
        <f t="shared" si="0"/>
        <v>1</v>
      </c>
      <c r="I47" s="44">
        <f t="shared" si="1"/>
        <v>6</v>
      </c>
      <c r="J47" s="44">
        <f t="shared" si="2"/>
        <v>0</v>
      </c>
      <c r="K47" s="30"/>
      <c r="L47" s="30"/>
      <c r="M47" s="30"/>
    </row>
    <row r="48" spans="1:13" ht="18.600000000000001" thickBot="1">
      <c r="A48" s="53"/>
      <c r="B48" s="46" t="s">
        <v>92</v>
      </c>
      <c r="C48" s="44" t="s">
        <v>50</v>
      </c>
      <c r="D48" s="47">
        <f>'[1]1. QS, TBKT'!K78</f>
        <v>4</v>
      </c>
      <c r="E48" s="45">
        <v>4</v>
      </c>
      <c r="F48" s="45">
        <v>4</v>
      </c>
      <c r="G48" s="44">
        <f t="shared" si="0"/>
        <v>1</v>
      </c>
      <c r="H48" s="44">
        <f t="shared" si="0"/>
        <v>1</v>
      </c>
      <c r="I48" s="44">
        <f t="shared" si="1"/>
        <v>4</v>
      </c>
      <c r="J48" s="44">
        <f t="shared" si="2"/>
        <v>0</v>
      </c>
      <c r="K48" s="30"/>
      <c r="L48" s="30"/>
      <c r="M48" s="30"/>
    </row>
    <row r="49" spans="1:13" ht="18.600000000000001" thickBot="1">
      <c r="A49" s="53"/>
      <c r="B49" s="46" t="s">
        <v>93</v>
      </c>
      <c r="C49" s="44" t="s">
        <v>50</v>
      </c>
      <c r="D49" s="47">
        <f>'[1]1. QS, TBKT'!J78</f>
        <v>0</v>
      </c>
      <c r="E49" s="45">
        <v>0</v>
      </c>
      <c r="F49" s="45">
        <v>0</v>
      </c>
      <c r="G49" s="44">
        <f t="shared" si="0"/>
        <v>0</v>
      </c>
      <c r="H49" s="44">
        <f t="shared" si="0"/>
        <v>0</v>
      </c>
      <c r="I49" s="44">
        <f t="shared" si="1"/>
        <v>0</v>
      </c>
      <c r="J49" s="44">
        <f t="shared" si="2"/>
        <v>0</v>
      </c>
      <c r="K49" s="30"/>
      <c r="L49" s="30"/>
      <c r="M49" s="30"/>
    </row>
    <row r="50" spans="1:13" ht="18.600000000000001" thickBot="1">
      <c r="A50" s="53"/>
      <c r="B50" s="46" t="s">
        <v>94</v>
      </c>
      <c r="C50" s="44" t="s">
        <v>50</v>
      </c>
      <c r="D50" s="47">
        <f>'[1]1. QS, TBKT'!I78</f>
        <v>0</v>
      </c>
      <c r="E50" s="45">
        <v>0</v>
      </c>
      <c r="F50" s="45">
        <v>0</v>
      </c>
      <c r="G50" s="44">
        <f t="shared" si="0"/>
        <v>0</v>
      </c>
      <c r="H50" s="44">
        <f t="shared" si="0"/>
        <v>0</v>
      </c>
      <c r="I50" s="44">
        <f t="shared" si="1"/>
        <v>0</v>
      </c>
      <c r="J50" s="44">
        <f t="shared" si="2"/>
        <v>0</v>
      </c>
      <c r="K50" s="30"/>
      <c r="L50" s="30"/>
      <c r="M50" s="30"/>
    </row>
    <row r="51" spans="1:13" ht="18.600000000000001" thickBot="1">
      <c r="A51" s="53"/>
      <c r="B51" s="46" t="s">
        <v>95</v>
      </c>
      <c r="C51" s="44" t="s">
        <v>50</v>
      </c>
      <c r="D51" s="47">
        <f>'[1]1. QS, TBKT'!L78</f>
        <v>6</v>
      </c>
      <c r="E51" s="45">
        <v>6</v>
      </c>
      <c r="F51" s="45">
        <v>6</v>
      </c>
      <c r="G51" s="44">
        <f t="shared" si="0"/>
        <v>1</v>
      </c>
      <c r="H51" s="44">
        <f t="shared" si="0"/>
        <v>1</v>
      </c>
      <c r="I51" s="44">
        <f t="shared" si="1"/>
        <v>6</v>
      </c>
      <c r="J51" s="44">
        <f t="shared" si="2"/>
        <v>0</v>
      </c>
      <c r="K51" s="30"/>
      <c r="L51" s="30"/>
      <c r="M51" s="30"/>
    </row>
    <row r="52" spans="1:13" ht="18.600000000000001" thickBot="1">
      <c r="A52" s="53"/>
      <c r="B52" s="46" t="s">
        <v>96</v>
      </c>
      <c r="C52" s="44" t="s">
        <v>50</v>
      </c>
      <c r="D52" s="47">
        <f>'[1]1. QS, TBKT'!G78</f>
        <v>0</v>
      </c>
      <c r="E52" s="45">
        <v>0</v>
      </c>
      <c r="F52" s="45">
        <v>0</v>
      </c>
      <c r="G52" s="44">
        <f t="shared" si="0"/>
        <v>0</v>
      </c>
      <c r="H52" s="44">
        <f t="shared" si="0"/>
        <v>0</v>
      </c>
      <c r="I52" s="44">
        <f t="shared" si="1"/>
        <v>0</v>
      </c>
      <c r="J52" s="44">
        <f t="shared" si="2"/>
        <v>0</v>
      </c>
      <c r="K52" s="30"/>
      <c r="L52" s="30"/>
      <c r="M52" s="30"/>
    </row>
    <row r="53" spans="1:13" ht="18.600000000000001" thickBot="1">
      <c r="A53" s="53"/>
      <c r="B53" s="46" t="s">
        <v>97</v>
      </c>
      <c r="C53" s="44" t="s">
        <v>50</v>
      </c>
      <c r="D53" s="47">
        <f>'[1]1. QS, TBKT'!F78</f>
        <v>0</v>
      </c>
      <c r="E53" s="45">
        <v>0</v>
      </c>
      <c r="F53" s="45">
        <v>0</v>
      </c>
      <c r="G53" s="44">
        <f t="shared" si="0"/>
        <v>0</v>
      </c>
      <c r="H53" s="44">
        <f t="shared" si="0"/>
        <v>0</v>
      </c>
      <c r="I53" s="44">
        <f t="shared" si="1"/>
        <v>0</v>
      </c>
      <c r="J53" s="44">
        <f t="shared" si="2"/>
        <v>0</v>
      </c>
      <c r="K53" s="30"/>
      <c r="L53" s="30"/>
      <c r="M53" s="30"/>
    </row>
    <row r="54" spans="1:13" ht="18.600000000000001" thickBot="1">
      <c r="A54" s="53"/>
      <c r="B54" s="46" t="s">
        <v>98</v>
      </c>
      <c r="C54" s="44" t="s">
        <v>50</v>
      </c>
      <c r="D54" s="47">
        <f>'[1]1. QS, TBKT'!E78</f>
        <v>0</v>
      </c>
      <c r="E54" s="45">
        <v>0</v>
      </c>
      <c r="F54" s="45">
        <v>0</v>
      </c>
      <c r="G54" s="44">
        <f t="shared" si="0"/>
        <v>0</v>
      </c>
      <c r="H54" s="44">
        <f t="shared" si="0"/>
        <v>0</v>
      </c>
      <c r="I54" s="44">
        <f t="shared" si="1"/>
        <v>0</v>
      </c>
      <c r="J54" s="44">
        <f t="shared" si="2"/>
        <v>0</v>
      </c>
      <c r="K54" s="30"/>
      <c r="L54" s="30"/>
      <c r="M54" s="30"/>
    </row>
    <row r="55" spans="1:13" ht="18.600000000000001" thickBot="1">
      <c r="A55" s="53"/>
      <c r="B55" s="46" t="s">
        <v>99</v>
      </c>
      <c r="C55" s="44" t="s">
        <v>50</v>
      </c>
      <c r="D55" s="47">
        <f>'[1]1. QS, TBKT'!D78</f>
        <v>187</v>
      </c>
      <c r="E55" s="45">
        <v>187</v>
      </c>
      <c r="F55" s="45">
        <v>187</v>
      </c>
      <c r="G55" s="44">
        <f t="shared" si="0"/>
        <v>1</v>
      </c>
      <c r="H55" s="44">
        <f t="shared" si="0"/>
        <v>1</v>
      </c>
      <c r="I55" s="44">
        <f t="shared" si="1"/>
        <v>187</v>
      </c>
      <c r="J55" s="44">
        <f t="shared" si="2"/>
        <v>0</v>
      </c>
      <c r="K55" s="30"/>
      <c r="L55" s="30"/>
      <c r="M55" s="30"/>
    </row>
    <row r="56" spans="1:13" ht="18.600000000000001" thickBot="1">
      <c r="A56" s="53"/>
      <c r="B56" s="46" t="s">
        <v>100</v>
      </c>
      <c r="C56" s="44" t="s">
        <v>50</v>
      </c>
      <c r="D56" s="47">
        <f>'[1]1. QS, TBKT'!C78</f>
        <v>20</v>
      </c>
      <c r="E56" s="45">
        <v>20</v>
      </c>
      <c r="F56" s="45">
        <v>20</v>
      </c>
      <c r="G56" s="44">
        <f t="shared" si="0"/>
        <v>1</v>
      </c>
      <c r="H56" s="44">
        <f t="shared" si="0"/>
        <v>1</v>
      </c>
      <c r="I56" s="44">
        <f t="shared" si="1"/>
        <v>20</v>
      </c>
      <c r="J56" s="44">
        <f t="shared" si="2"/>
        <v>0</v>
      </c>
      <c r="K56" s="30"/>
      <c r="L56" s="30"/>
      <c r="M56" s="30"/>
    </row>
    <row r="57" spans="1:13" ht="18.600000000000001" thickBot="1">
      <c r="A57" s="53"/>
      <c r="B57" s="46" t="s">
        <v>5</v>
      </c>
      <c r="C57" s="44" t="s">
        <v>101</v>
      </c>
      <c r="D57" s="47">
        <f>'[1]1. QS, TBKT'!H78</f>
        <v>759</v>
      </c>
      <c r="E57" s="45">
        <v>759</v>
      </c>
      <c r="F57" s="45">
        <v>759</v>
      </c>
      <c r="G57" s="44">
        <f t="shared" si="0"/>
        <v>1</v>
      </c>
      <c r="H57" s="44">
        <f t="shared" si="0"/>
        <v>1</v>
      </c>
      <c r="I57" s="44">
        <f t="shared" si="1"/>
        <v>759</v>
      </c>
      <c r="J57" s="44">
        <f t="shared" si="2"/>
        <v>0</v>
      </c>
      <c r="K57" s="30"/>
      <c r="L57" s="30"/>
      <c r="M57" s="30"/>
    </row>
  </sheetData>
  <mergeCells count="12">
    <mergeCell ref="A14:A24"/>
    <mergeCell ref="A25:A35"/>
    <mergeCell ref="A36:A46"/>
    <mergeCell ref="A47:A57"/>
    <mergeCell ref="J1:M1"/>
    <mergeCell ref="A3:A13"/>
    <mergeCell ref="E1:H1"/>
    <mergeCell ref="I1:I2"/>
    <mergeCell ref="D1:D2"/>
    <mergeCell ref="A1:A2"/>
    <mergeCell ref="B1:B2"/>
    <mergeCell ref="C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2025-12-02T15:26:56Z</dcterms:created>
  <dcterms:modified xsi:type="dcterms:W3CDTF">2026-03-11T03:00:53Z</dcterms:modified>
</cp:coreProperties>
</file>