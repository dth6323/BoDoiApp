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\Thaiha\BoDoiApp\Resources\Sheet\"/>
    </mc:Choice>
  </mc:AlternateContent>
  <xr:revisionPtr revIDLastSave="0" documentId="13_ncr:1_{59008B69-BE59-40FE-A4F4-6F6FE73800F5}" xr6:coauthVersionLast="47" xr6:coauthVersionMax="47" xr10:uidLastSave="{00000000-0000-0000-0000-000000000000}"/>
  <bookViews>
    <workbookView xWindow="-110" yWindow="-110" windowWidth="19420" windowHeight="10300" xr2:uid="{FCE59EA9-790B-433B-B511-234C9C16BD72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C6" i="1"/>
  <c r="D6" i="1"/>
  <c r="E6" i="1"/>
  <c r="F6" i="1"/>
  <c r="G6" i="1"/>
  <c r="H6" i="1"/>
  <c r="I6" i="1"/>
  <c r="F13" i="7"/>
  <c r="F11" i="7"/>
  <c r="F15" i="7"/>
  <c r="F16" i="7"/>
  <c r="F14" i="7"/>
  <c r="E13" i="7"/>
  <c r="D13" i="7"/>
  <c r="C13" i="7"/>
  <c r="F12" i="7"/>
  <c r="F10" i="7"/>
  <c r="F9" i="7"/>
  <c r="F8" i="7"/>
  <c r="F7" i="7"/>
  <c r="F6" i="7"/>
  <c r="F5" i="7"/>
  <c r="E5" i="7"/>
  <c r="D5" i="7"/>
  <c r="C5" i="7"/>
  <c r="J47" i="8"/>
  <c r="I47" i="8"/>
  <c r="H47" i="8"/>
  <c r="G47" i="8"/>
  <c r="J46" i="8"/>
  <c r="I46" i="8"/>
  <c r="H46" i="8"/>
  <c r="G46" i="8"/>
  <c r="J45" i="8"/>
  <c r="I45" i="8"/>
  <c r="H45" i="8"/>
  <c r="G45" i="8"/>
  <c r="J44" i="8"/>
  <c r="I44" i="8"/>
  <c r="H44" i="8"/>
  <c r="G44" i="8"/>
  <c r="J43" i="8"/>
  <c r="I43" i="8"/>
  <c r="H43" i="8"/>
  <c r="G43" i="8"/>
  <c r="J42" i="8"/>
  <c r="I42" i="8"/>
  <c r="H42" i="8"/>
  <c r="G42" i="8"/>
  <c r="J41" i="8"/>
  <c r="I41" i="8"/>
  <c r="H41" i="8"/>
  <c r="G41" i="8"/>
  <c r="J40" i="8"/>
  <c r="I40" i="8"/>
  <c r="H40" i="8"/>
  <c r="G40" i="8"/>
  <c r="J39" i="8"/>
  <c r="I39" i="8"/>
  <c r="H39" i="8"/>
  <c r="G39" i="8"/>
  <c r="J38" i="8"/>
  <c r="I38" i="8"/>
  <c r="H38" i="8"/>
  <c r="G38" i="8"/>
  <c r="J37" i="8"/>
  <c r="I37" i="8"/>
  <c r="H37" i="8"/>
  <c r="G37" i="8"/>
  <c r="J36" i="8"/>
  <c r="I36" i="8"/>
  <c r="H36" i="8"/>
  <c r="G36" i="8"/>
  <c r="J35" i="8"/>
  <c r="I35" i="8"/>
  <c r="H35" i="8"/>
  <c r="G35" i="8"/>
  <c r="J34" i="8"/>
  <c r="I34" i="8"/>
  <c r="H34" i="8"/>
  <c r="G34" i="8"/>
  <c r="J33" i="8"/>
  <c r="I33" i="8"/>
  <c r="H33" i="8"/>
  <c r="G33" i="8"/>
  <c r="J32" i="8"/>
  <c r="I32" i="8"/>
  <c r="H32" i="8"/>
  <c r="G32" i="8"/>
  <c r="J31" i="8"/>
  <c r="I31" i="8"/>
  <c r="H31" i="8"/>
  <c r="G31" i="8"/>
  <c r="J30" i="8"/>
  <c r="I30" i="8"/>
  <c r="H30" i="8"/>
  <c r="G30" i="8"/>
  <c r="J29" i="8"/>
  <c r="I29" i="8"/>
  <c r="H29" i="8"/>
  <c r="G29" i="8"/>
  <c r="J28" i="8"/>
  <c r="I28" i="8"/>
  <c r="H28" i="8"/>
  <c r="G28" i="8"/>
  <c r="J27" i="8"/>
  <c r="I27" i="8"/>
  <c r="H27" i="8"/>
  <c r="G27" i="8"/>
  <c r="J26" i="8"/>
  <c r="I26" i="8"/>
  <c r="H26" i="8"/>
  <c r="G26" i="8"/>
  <c r="J25" i="8"/>
  <c r="I25" i="8"/>
  <c r="H25" i="8"/>
  <c r="G25" i="8"/>
  <c r="J24" i="8"/>
  <c r="I24" i="8"/>
  <c r="H24" i="8"/>
  <c r="G24" i="8"/>
  <c r="J23" i="8"/>
  <c r="I23" i="8"/>
  <c r="H23" i="8"/>
  <c r="G23" i="8"/>
  <c r="J22" i="8"/>
  <c r="I22" i="8"/>
  <c r="H22" i="8"/>
  <c r="G22" i="8"/>
  <c r="J21" i="8"/>
  <c r="I21" i="8"/>
  <c r="H21" i="8"/>
  <c r="G21" i="8"/>
  <c r="J20" i="8"/>
  <c r="I20" i="8"/>
  <c r="H20" i="8"/>
  <c r="G20" i="8"/>
  <c r="J19" i="8"/>
  <c r="I19" i="8"/>
  <c r="H19" i="8"/>
  <c r="G19" i="8"/>
  <c r="J18" i="8"/>
  <c r="I18" i="8"/>
  <c r="H18" i="8"/>
  <c r="G18" i="8"/>
  <c r="J17" i="8"/>
  <c r="I17" i="8"/>
  <c r="H17" i="8"/>
  <c r="G17" i="8"/>
  <c r="J16" i="8"/>
  <c r="I16" i="8"/>
  <c r="H16" i="8"/>
  <c r="G16" i="8"/>
  <c r="J15" i="8"/>
  <c r="I15" i="8"/>
  <c r="H15" i="8"/>
  <c r="G15" i="8"/>
  <c r="J14" i="8"/>
  <c r="I14" i="8"/>
  <c r="H14" i="8"/>
  <c r="G14" i="8"/>
  <c r="J13" i="8"/>
  <c r="I13" i="8"/>
  <c r="H13" i="8"/>
  <c r="G13" i="8"/>
  <c r="J12" i="8"/>
  <c r="I12" i="8"/>
  <c r="H12" i="8"/>
  <c r="G12" i="8"/>
  <c r="J11" i="8"/>
  <c r="I11" i="8"/>
  <c r="H11" i="8"/>
  <c r="G11" i="8"/>
  <c r="J10" i="8"/>
  <c r="I10" i="8"/>
  <c r="H10" i="8"/>
  <c r="G10" i="8"/>
  <c r="J9" i="8"/>
  <c r="I9" i="8"/>
  <c r="H9" i="8"/>
  <c r="G9" i="8"/>
  <c r="J8" i="8"/>
  <c r="I8" i="8"/>
  <c r="H8" i="8"/>
  <c r="G8" i="8"/>
  <c r="J7" i="8"/>
  <c r="I7" i="8"/>
  <c r="H7" i="8"/>
  <c r="G7" i="8"/>
  <c r="J6" i="8"/>
  <c r="I6" i="8"/>
  <c r="H6" i="8"/>
  <c r="G6" i="8"/>
  <c r="J5" i="8"/>
  <c r="I5" i="8"/>
  <c r="H5" i="8"/>
  <c r="G5" i="8"/>
  <c r="J4" i="8"/>
  <c r="I4" i="8"/>
  <c r="H4" i="8"/>
  <c r="G4" i="8"/>
  <c r="J3" i="8"/>
  <c r="I3" i="8"/>
  <c r="H3" i="8"/>
  <c r="G3" i="8"/>
  <c r="M8" i="6"/>
  <c r="L8" i="6"/>
  <c r="K8" i="6"/>
  <c r="J8" i="6"/>
  <c r="I8" i="6"/>
  <c r="H8" i="6"/>
  <c r="G8" i="6"/>
  <c r="F8" i="6"/>
  <c r="E8" i="6"/>
  <c r="D8" i="6"/>
  <c r="C8" i="6"/>
  <c r="B8" i="6"/>
  <c r="M6" i="6"/>
  <c r="M19" i="6" s="1"/>
  <c r="L6" i="6"/>
  <c r="L19" i="6" s="1"/>
  <c r="K6" i="6"/>
  <c r="K19" i="6" s="1"/>
  <c r="J6" i="6"/>
  <c r="J19" i="6" s="1"/>
  <c r="I6" i="6"/>
  <c r="I19" i="6" s="1"/>
  <c r="H6" i="6"/>
  <c r="H19" i="6" s="1"/>
  <c r="G6" i="6"/>
  <c r="G19" i="6" s="1"/>
  <c r="F6" i="6"/>
  <c r="F19" i="6" s="1"/>
  <c r="E6" i="6"/>
  <c r="E19" i="6" s="1"/>
  <c r="D6" i="6"/>
  <c r="D19" i="6" s="1"/>
  <c r="C6" i="6"/>
  <c r="C19" i="6" s="1"/>
  <c r="B6" i="6"/>
  <c r="B19" i="6" s="1"/>
  <c r="E7" i="3"/>
  <c r="E6" i="3"/>
  <c r="E5" i="3"/>
  <c r="E4" i="3"/>
  <c r="E3" i="3"/>
  <c r="I4" i="3"/>
  <c r="I7" i="3"/>
  <c r="F7" i="3"/>
  <c r="F6" i="3"/>
  <c r="I6" i="3"/>
  <c r="I5" i="3"/>
  <c r="F5" i="3"/>
  <c r="F4" i="3"/>
  <c r="I3" i="3"/>
  <c r="F3" i="3"/>
  <c r="F19" i="2"/>
  <c r="E19" i="2"/>
  <c r="D19" i="2"/>
  <c r="C19" i="2"/>
  <c r="B19" i="2"/>
  <c r="M8" i="2"/>
  <c r="L8" i="2"/>
  <c r="K8" i="2"/>
  <c r="J8" i="2"/>
  <c r="I8" i="2"/>
  <c r="H8" i="2"/>
  <c r="G8" i="2"/>
  <c r="F8" i="2"/>
  <c r="E8" i="2"/>
  <c r="D8" i="2"/>
  <c r="C8" i="2"/>
  <c r="B8" i="2"/>
  <c r="M6" i="2"/>
  <c r="M19" i="2" s="1"/>
  <c r="L6" i="2"/>
  <c r="L19" i="2" s="1"/>
  <c r="K6" i="2"/>
  <c r="K19" i="2" s="1"/>
  <c r="J6" i="2"/>
  <c r="J19" i="2" s="1"/>
  <c r="I6" i="2"/>
  <c r="I19" i="2" s="1"/>
  <c r="H6" i="2"/>
  <c r="H19" i="2" s="1"/>
  <c r="G6" i="2"/>
  <c r="G19" i="2" s="1"/>
  <c r="F6" i="2"/>
  <c r="E6" i="2"/>
  <c r="D6" i="2"/>
  <c r="C6" i="2"/>
  <c r="B6" i="2"/>
  <c r="J6" i="1"/>
  <c r="K6" i="1"/>
  <c r="L6" i="1"/>
  <c r="M6" i="1"/>
  <c r="C17" i="1"/>
  <c r="M8" i="1"/>
  <c r="M17" i="1" s="1"/>
  <c r="L8" i="1"/>
  <c r="L17" i="1" s="1"/>
  <c r="K8" i="1"/>
  <c r="K17" i="1" s="1"/>
  <c r="J8" i="1"/>
  <c r="J17" i="1" s="1"/>
  <c r="I8" i="1"/>
  <c r="I17" i="1" s="1"/>
  <c r="H8" i="1"/>
  <c r="H17" i="1" s="1"/>
  <c r="G8" i="1"/>
  <c r="G17" i="1" s="1"/>
  <c r="F8" i="1"/>
  <c r="F17" i="1" s="1"/>
  <c r="E8" i="1"/>
  <c r="E17" i="1" s="1"/>
  <c r="D8" i="1"/>
  <c r="D17" i="1" s="1"/>
  <c r="C8" i="1"/>
  <c r="B8" i="1"/>
  <c r="B17" i="1" s="1"/>
</calcChain>
</file>

<file path=xl/sharedStrings.xml><?xml version="1.0" encoding="utf-8"?>
<sst xmlns="http://schemas.openxmlformats.org/spreadsheetml/2006/main" count="299" uniqueCount="128">
  <si>
    <t>TỔ CHỨC BIÊN CHẾ, TRANG BỊ HƯỚNG CHỦ YẾU</t>
  </si>
  <si>
    <t>LỰC LƯỢNG</t>
  </si>
  <si>
    <t>QUÂN SỐ</t>
  </si>
  <si>
    <t>TRANG BỊ KỸ THUẬT</t>
  </si>
  <si>
    <t>Vũ khí bộ binh</t>
  </si>
  <si>
    <t>Lựu đạn</t>
  </si>
  <si>
    <t>Cối</t>
  </si>
  <si>
    <t>PCT</t>
  </si>
  <si>
    <t>Pháo PK</t>
  </si>
  <si>
    <t>SN</t>
  </si>
  <si>
    <t>TL</t>
  </si>
  <si>
    <t>TrL</t>
  </si>
  <si>
    <t>ĐL</t>
  </si>
  <si>
    <t>B41, M79</t>
  </si>
  <si>
    <t>SPG9</t>
  </si>
  <si>
    <t>1. Trong biên chế</t>
  </si>
  <si>
    <t>cBB1</t>
  </si>
  <si>
    <t>2. LL tăng cường</t>
  </si>
  <si>
    <t>1 b SPG-9/d</t>
  </si>
  <si>
    <t>cCo82(-)/d</t>
  </si>
  <si>
    <t>b SMPK 12,7mm/d</t>
  </si>
  <si>
    <t>cBB3 (-)</t>
  </si>
  <si>
    <t>Y tá/d</t>
  </si>
  <si>
    <t>Nuôi quân của cBB1</t>
  </si>
  <si>
    <t>Nuôi quân của cBB3 (-)</t>
  </si>
  <si>
    <t>a VTB</t>
  </si>
  <si>
    <t>Tổng</t>
  </si>
  <si>
    <t>TỔ CHỨC BIÊN CHẾ, TRANG BỊ TIỂU ĐOÀN BỘ BINH TIẾN CÔNG RỪNG NÚI</t>
  </si>
  <si>
    <t>dBB</t>
  </si>
  <si>
    <t>2. LL phối thuộc</t>
  </si>
  <si>
    <t>1 cO100/e</t>
  </si>
  <si>
    <t>1 cSPG-9/e</t>
  </si>
  <si>
    <t>1 cSMPK 12,7mm/e</t>
  </si>
  <si>
    <t>1b VTB/e</t>
  </si>
  <si>
    <t>1 tổ QY/e</t>
  </si>
  <si>
    <t>1 aHH/f</t>
  </si>
  <si>
    <t>2 PĐ TS/e</t>
  </si>
  <si>
    <t>1 b CB</t>
  </si>
  <si>
    <t>1 tổ SC/e</t>
  </si>
  <si>
    <t>1a TT/e</t>
  </si>
  <si>
    <t>Loại TBKT</t>
  </si>
  <si>
    <t>ĐVT</t>
  </si>
  <si>
    <t>Nhu cầu</t>
  </si>
  <si>
    <t>Hiện có</t>
  </si>
  <si>
    <t>PC TQĐ</t>
  </si>
  <si>
    <t>Bổ sung</t>
  </si>
  <si>
    <t>+</t>
  </si>
  <si>
    <t>Kbđ</t>
  </si>
  <si>
    <t>Kt</t>
  </si>
  <si>
    <t>Số tốt</t>
  </si>
  <si>
    <t>Khẩu</t>
  </si>
  <si>
    <t>Quả</t>
  </si>
  <si>
    <t>Trl</t>
  </si>
  <si>
    <t>DL</t>
  </si>
  <si>
    <t>Loại vật chất</t>
  </si>
  <si>
    <t>Quy định</t>
  </si>
  <si>
    <t>Đạn</t>
  </si>
  <si>
    <t>Tấn</t>
  </si>
  <si>
    <t>Quân nhu</t>
  </si>
  <si>
    <t>Quân y</t>
  </si>
  <si>
    <t>Doanh trại</t>
  </si>
  <si>
    <t>VTKT</t>
  </si>
  <si>
    <t>Cộng</t>
  </si>
  <si>
    <t>TT</t>
  </si>
  <si>
    <t>PC SCĐ</t>
  </si>
  <si>
    <t>Kho d</t>
  </si>
  <si>
    <t>Đơn vị</t>
  </si>
  <si>
    <t>Nội dung</t>
  </si>
  <si>
    <t>Quân số</t>
  </si>
  <si>
    <t>Vũ khí trang bị kỹ thuật</t>
  </si>
  <si>
    <t>Phân chia lực lượng</t>
  </si>
  <si>
    <t>SQ</t>
  </si>
  <si>
    <t>QNCN</t>
  </si>
  <si>
    <t>HSQ-BS</t>
  </si>
  <si>
    <t>Vũ khí</t>
  </si>
  <si>
    <t>Xe-máy</t>
  </si>
  <si>
    <t>TB khác</t>
  </si>
  <si>
    <t>Bộ phận HC-KT</t>
  </si>
  <si>
    <t>Lực lượng tăng cường cho đơn vị</t>
  </si>
  <si>
    <t>QS</t>
  </si>
  <si>
    <t>TB</t>
  </si>
  <si>
    <t>Tên TBKT</t>
  </si>
  <si>
    <t>Đơn vị tính</t>
  </si>
  <si>
    <t xml:space="preserve">Nhu cầu </t>
  </si>
  <si>
    <t>Phải có trước CĐ</t>
  </si>
  <si>
    <t>Phải bổ sung</t>
  </si>
  <si>
    <t>Tổng số</t>
  </si>
  <si>
    <r>
      <t>K</t>
    </r>
    <r>
      <rPr>
        <b/>
        <vertAlign val="subscript"/>
        <sz val="12"/>
        <color theme="1"/>
        <rFont val="Times New Roman"/>
        <family val="1"/>
      </rPr>
      <t>bđ</t>
    </r>
  </si>
  <si>
    <r>
      <t>K</t>
    </r>
    <r>
      <rPr>
        <b/>
        <vertAlign val="subscript"/>
        <sz val="12"/>
        <color theme="1"/>
        <rFont val="Times New Roman"/>
        <family val="1"/>
      </rPr>
      <t>t</t>
    </r>
  </si>
  <si>
    <t>Số lượng</t>
  </si>
  <si>
    <t>Thời gian</t>
  </si>
  <si>
    <t>Địa điểm</t>
  </si>
  <si>
    <t>Phương thức</t>
  </si>
  <si>
    <t>dBB1+PT</t>
  </si>
  <si>
    <t>SMPK 12,7mm</t>
  </si>
  <si>
    <t>Cối 100mm/e</t>
  </si>
  <si>
    <t>Cối 82mm/d</t>
  </si>
  <si>
    <t>Cối 60mm</t>
  </si>
  <si>
    <t>Súng SPG-9</t>
  </si>
  <si>
    <t>Súng B41</t>
  </si>
  <si>
    <t>Súng đại liên</t>
  </si>
  <si>
    <t>Súng trung liên</t>
  </si>
  <si>
    <t>Súng tiểu liên</t>
  </si>
  <si>
    <t>Súng ngắn</t>
  </si>
  <si>
    <t>quả</t>
  </si>
  <si>
    <t>Hướng PN chủ yếu</t>
  </si>
  <si>
    <t>Hướng PN thứ yếu</t>
  </si>
  <si>
    <t>Hướng PN phía sau</t>
  </si>
  <si>
    <t>Lực lượng còn lại</t>
  </si>
  <si>
    <t>14.00 N-4</t>
  </si>
  <si>
    <t>VTCH/đv</t>
  </si>
  <si>
    <t>Tay ba</t>
  </si>
  <si>
    <t>  </t>
  </si>
  <si>
    <t>Cối 82mm</t>
  </si>
  <si>
    <t>Cối 100mm</t>
  </si>
  <si>
    <t>Phân đội HC-KT</t>
  </si>
  <si>
    <t>-</t>
  </si>
  <si>
    <t>TLHC/d</t>
  </si>
  <si>
    <t>NVQK</t>
  </si>
  <si>
    <t>NVQN</t>
  </si>
  <si>
    <t>NVKT</t>
  </si>
  <si>
    <t>QY/d</t>
  </si>
  <si>
    <t>bVTB/d</t>
  </si>
  <si>
    <t>bPV/d</t>
  </si>
  <si>
    <t>LL tăng cường</t>
  </si>
  <si>
    <t>QY/e</t>
  </si>
  <si>
    <t>bVTB/e</t>
  </si>
  <si>
    <t>Tổ SC/e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</si>
</sst>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b/>
      <sz val="8"/>
      <color theme="1"/>
      <name val="#9Slide02 Tieu de rat dai 01"/>
      <charset val="163"/>
    </font>
    <font>
      <b/>
      <sz val="8"/>
      <color theme="1"/>
      <name val="Times New Roman"/>
      <family val="1"/>
      <charset val="163"/>
    </font>
    <font>
      <sz val="8"/>
      <color theme="1"/>
      <name val="Times New Roman"/>
      <family val="1"/>
      <charset val="163"/>
    </font>
    <font>
      <sz val="8"/>
      <name val="Times New Roman"/>
      <family val="1"/>
      <charset val="163"/>
    </font>
    <font>
      <b/>
      <sz val="8"/>
      <color rgb="FFFF0000"/>
      <name val="Times New Roman"/>
      <family val="1"/>
      <charset val="163"/>
    </font>
    <font>
      <b/>
      <sz val="7"/>
      <color theme="1"/>
      <name val="Times New Roman"/>
      <family val="1"/>
      <charset val="163"/>
    </font>
    <font>
      <sz val="7"/>
      <color theme="1"/>
      <name val="Times New Roman"/>
      <family val="1"/>
      <charset val="163"/>
    </font>
    <font>
      <sz val="7"/>
      <name val="Times New Roman"/>
      <family val="1"/>
      <charset val="163"/>
    </font>
    <font>
      <sz val="7"/>
      <color theme="1"/>
      <name val="Times New Roman"/>
      <family val="1"/>
    </font>
    <font>
      <sz val="7"/>
      <color theme="1"/>
      <name val="Calibri"/>
      <family val="2"/>
      <charset val="163"/>
      <scheme val="minor"/>
    </font>
    <font>
      <b/>
      <sz val="7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1"/>
      <name val="Times New Roman"/>
      <family val="1"/>
    </font>
    <font>
      <b/>
      <vertAlign val="subscript"/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3" borderId="7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justify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0" fontId="5" fillId="5" borderId="7" xfId="0" applyFont="1" applyFill="1" applyBorder="1" applyAlignment="1">
      <alignment vertical="center"/>
    </xf>
    <xf numFmtId="0" fontId="5" fillId="5" borderId="7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left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/>
    </xf>
    <xf numFmtId="0" fontId="10" fillId="0" borderId="7" xfId="0" applyFont="1" applyBorder="1" applyAlignment="1">
      <alignment horizontal="center" vertical="center"/>
    </xf>
    <xf numFmtId="0" fontId="11" fillId="6" borderId="7" xfId="0" applyFont="1" applyFill="1" applyBorder="1" applyAlignment="1">
      <alignment horizontal="left" vertical="center"/>
    </xf>
    <xf numFmtId="0" fontId="11" fillId="6" borderId="7" xfId="0" applyFont="1" applyFill="1" applyBorder="1" applyAlignment="1">
      <alignment horizontal="center" vertical="center"/>
    </xf>
    <xf numFmtId="0" fontId="12" fillId="6" borderId="7" xfId="0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 wrapText="1"/>
    </xf>
    <xf numFmtId="0" fontId="18" fillId="0" borderId="18" xfId="0" applyFont="1" applyBorder="1" applyAlignment="1">
      <alignment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8" borderId="18" xfId="0" applyFont="1" applyFill="1" applyBorder="1" applyAlignment="1">
      <alignment horizontal="center" vertical="center" wrapText="1"/>
    </xf>
    <xf numFmtId="0" fontId="18" fillId="0" borderId="18" xfId="0" applyFont="1" applyBorder="1" applyAlignment="1">
      <alignment vertical="center"/>
    </xf>
    <xf numFmtId="0" fontId="18" fillId="8" borderId="18" xfId="0" applyFont="1" applyFill="1" applyBorder="1" applyAlignment="1">
      <alignment horizontal="center" vertical="center"/>
    </xf>
    <xf numFmtId="3" fontId="18" fillId="8" borderId="18" xfId="0" applyNumberFormat="1" applyFont="1" applyFill="1" applyBorder="1" applyAlignment="1">
      <alignment horizontal="center" vertical="center" wrapText="1"/>
    </xf>
    <xf numFmtId="3" fontId="18" fillId="8" borderId="18" xfId="0" applyNumberFormat="1" applyFont="1" applyFill="1" applyBorder="1" applyAlignment="1">
      <alignment horizontal="center" vertical="center"/>
    </xf>
    <xf numFmtId="2" fontId="18" fillId="8" borderId="18" xfId="0" applyNumberFormat="1" applyFont="1" applyFill="1" applyBorder="1" applyAlignment="1">
      <alignment horizontal="center" vertical="center" wrapText="1"/>
    </xf>
    <xf numFmtId="0" fontId="18" fillId="0" borderId="18" xfId="0" applyFont="1" applyBorder="1" applyAlignment="1">
      <alignment horizontal="justify" vertical="center" wrapText="1"/>
    </xf>
    <xf numFmtId="0" fontId="18" fillId="0" borderId="18" xfId="0" applyFont="1" applyBorder="1" applyAlignment="1">
      <alignment horizontal="justify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/>
    </xf>
    <xf numFmtId="0" fontId="12" fillId="6" borderId="12" xfId="0" applyFont="1" applyFill="1" applyBorder="1" applyAlignment="1">
      <alignment horizontal="center" vertical="center"/>
    </xf>
    <xf numFmtId="0" fontId="12" fillId="6" borderId="8" xfId="0" applyFont="1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  <xf numFmtId="0" fontId="12" fillId="6" borderId="9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/>
    </xf>
    <xf numFmtId="0" fontId="12" fillId="3" borderId="8" xfId="0" applyFont="1" applyFill="1" applyBorder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3" borderId="12" xfId="0" applyFont="1" applyFill="1" applyBorder="1" applyAlignment="1">
      <alignment horizontal="center" vertical="center" wrapText="1"/>
    </xf>
    <xf numFmtId="0" fontId="13" fillId="3" borderId="9" xfId="0" applyFont="1" applyFill="1" applyBorder="1" applyAlignment="1">
      <alignment horizontal="center" vertical="center"/>
    </xf>
    <xf numFmtId="0" fontId="13" fillId="3" borderId="10" xfId="0" applyFont="1" applyFill="1" applyBorder="1" applyAlignment="1">
      <alignment horizontal="center" vertical="center"/>
    </xf>
    <xf numFmtId="0" fontId="13" fillId="3" borderId="11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2" fillId="3" borderId="10" xfId="0" applyFont="1" applyFill="1" applyBorder="1" applyAlignment="1">
      <alignment horizontal="center" vertical="center"/>
    </xf>
    <xf numFmtId="0" fontId="12" fillId="3" borderId="11" xfId="0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 wrapText="1"/>
    </xf>
    <xf numFmtId="0" fontId="15" fillId="0" borderId="17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 wrapText="1"/>
    </xf>
    <xf numFmtId="0" fontId="15" fillId="0" borderId="15" xfId="0" applyFont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 textRotation="90" wrapText="1"/>
    </xf>
    <xf numFmtId="0" fontId="17" fillId="0" borderId="19" xfId="0" applyFont="1" applyBorder="1" applyAlignment="1">
      <alignment horizontal="center" vertical="center" textRotation="90" wrapText="1"/>
    </xf>
    <xf numFmtId="0" fontId="17" fillId="0" borderId="17" xfId="0" applyFont="1" applyBorder="1" applyAlignment="1">
      <alignment horizontal="center" vertical="center" textRotation="90" wrapText="1"/>
    </xf>
    <xf numFmtId="0" fontId="0" fillId="0" borderId="7" xfId="0" applyBorder="1"/>
    <xf numFmtId="0" fontId="12" fillId="0" borderId="0" xfId="0" applyFont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7" xfId="0" applyFont="1" applyBorder="1" applyAlignment="1">
      <alignment vertical="center"/>
    </xf>
    <xf numFmtId="0" fontId="19" fillId="0" borderId="7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2" fillId="0" borderId="8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73A-C175-4526-B966-989AD58BFBEE}">
  <dimension ref="A1:M17"/>
  <sheetViews>
    <sheetView tabSelected="1" topLeftCell="A7" workbookViewId="0">
      <selection activeCell="A17" sqref="A17"/>
    </sheetView>
  </sheetViews>
  <sheetFormatPr defaultRowHeight="14.5"/>
  <sheetData>
    <row r="1" spans="1:13">
      <c r="A1" s="41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3"/>
    </row>
    <row r="2" spans="1:13">
      <c r="A2" s="44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6"/>
    </row>
    <row r="3" spans="1:13" ht="14" customHeight="1">
      <c r="A3" s="47" t="s">
        <v>1</v>
      </c>
      <c r="B3" s="47" t="s">
        <v>2</v>
      </c>
      <c r="C3" s="47" t="s">
        <v>3</v>
      </c>
      <c r="D3" s="47"/>
      <c r="E3" s="47"/>
      <c r="F3" s="47"/>
      <c r="G3" s="47"/>
      <c r="H3" s="47"/>
      <c r="I3" s="47"/>
      <c r="J3" s="47"/>
      <c r="K3" s="47"/>
      <c r="L3" s="47"/>
      <c r="M3" s="47"/>
    </row>
    <row r="4" spans="1:13">
      <c r="A4" s="47"/>
      <c r="B4" s="47"/>
      <c r="C4" s="47" t="s">
        <v>4</v>
      </c>
      <c r="D4" s="47"/>
      <c r="E4" s="47"/>
      <c r="F4" s="47"/>
      <c r="G4" s="47"/>
      <c r="H4" s="47" t="s">
        <v>5</v>
      </c>
      <c r="I4" s="47" t="s">
        <v>6</v>
      </c>
      <c r="J4" s="47"/>
      <c r="K4" s="47"/>
      <c r="L4" s="1" t="s">
        <v>7</v>
      </c>
      <c r="M4" s="1" t="s">
        <v>8</v>
      </c>
    </row>
    <row r="5" spans="1:13">
      <c r="A5" s="47"/>
      <c r="B5" s="47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47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21">
      <c r="A6" s="2" t="s">
        <v>15</v>
      </c>
      <c r="B6" s="2">
        <f t="shared" ref="B6:H6" si="0">B7</f>
        <v>1</v>
      </c>
      <c r="C6" s="2">
        <f t="shared" si="0"/>
        <v>1</v>
      </c>
      <c r="D6" s="2">
        <f t="shared" si="0"/>
        <v>1</v>
      </c>
      <c r="E6" s="2">
        <f t="shared" si="0"/>
        <v>0</v>
      </c>
      <c r="F6" s="2">
        <f t="shared" si="0"/>
        <v>0</v>
      </c>
      <c r="G6" s="2">
        <f t="shared" si="0"/>
        <v>0</v>
      </c>
      <c r="H6" s="2">
        <f t="shared" si="0"/>
        <v>0</v>
      </c>
      <c r="I6" s="2">
        <f>I7</f>
        <v>0</v>
      </c>
      <c r="J6" s="2">
        <f t="shared" ref="J6:M6" si="1">J7</f>
        <v>0</v>
      </c>
      <c r="K6" s="2">
        <f t="shared" si="1"/>
        <v>0</v>
      </c>
      <c r="L6" s="2">
        <f t="shared" si="1"/>
        <v>0</v>
      </c>
      <c r="M6" s="2">
        <f t="shared" si="1"/>
        <v>0</v>
      </c>
    </row>
    <row r="7" spans="1:13">
      <c r="A7" s="3" t="s">
        <v>16</v>
      </c>
      <c r="B7" s="4">
        <v>1</v>
      </c>
      <c r="C7" s="4">
        <v>1</v>
      </c>
      <c r="D7" s="4">
        <v>1</v>
      </c>
      <c r="E7" s="4"/>
      <c r="F7" s="4"/>
      <c r="G7" s="4"/>
      <c r="H7" s="4"/>
      <c r="I7" s="4"/>
      <c r="J7" s="4"/>
      <c r="K7" s="4"/>
      <c r="L7" s="4"/>
      <c r="M7" s="4"/>
    </row>
    <row r="8" spans="1:13" ht="21">
      <c r="A8" s="2" t="s">
        <v>17</v>
      </c>
      <c r="B8" s="2">
        <f t="shared" ref="B8:M8" si="2">SUM(B9:B16)</f>
        <v>0</v>
      </c>
      <c r="C8" s="2">
        <f t="shared" si="2"/>
        <v>0</v>
      </c>
      <c r="D8" s="2">
        <f t="shared" si="2"/>
        <v>0</v>
      </c>
      <c r="E8" s="2">
        <f t="shared" si="2"/>
        <v>0</v>
      </c>
      <c r="F8" s="2">
        <f t="shared" si="2"/>
        <v>0</v>
      </c>
      <c r="G8" s="2">
        <f t="shared" si="2"/>
        <v>0</v>
      </c>
      <c r="H8" s="2">
        <f t="shared" si="2"/>
        <v>0</v>
      </c>
      <c r="I8" s="2">
        <f t="shared" si="2"/>
        <v>0</v>
      </c>
      <c r="J8" s="2">
        <f t="shared" si="2"/>
        <v>0</v>
      </c>
      <c r="K8" s="2">
        <f t="shared" si="2"/>
        <v>0</v>
      </c>
      <c r="L8" s="2">
        <f t="shared" si="2"/>
        <v>0</v>
      </c>
      <c r="M8" s="2">
        <f t="shared" si="2"/>
        <v>0</v>
      </c>
    </row>
    <row r="9" spans="1:13">
      <c r="A9" s="5" t="s">
        <v>18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</row>
    <row r="10" spans="1:13">
      <c r="A10" s="5" t="s">
        <v>19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</row>
    <row r="11" spans="1:13" ht="21">
      <c r="A11" s="5" t="s">
        <v>20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</row>
    <row r="12" spans="1:13">
      <c r="A12" s="5" t="s">
        <v>21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3" spans="1:13">
      <c r="A13" s="6" t="s">
        <v>22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</row>
    <row r="14" spans="1:13" ht="21">
      <c r="A14" s="6" t="s">
        <v>23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pans="1:13" ht="21">
      <c r="A15" s="6" t="s">
        <v>24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spans="1:13">
      <c r="A16" s="5" t="s">
        <v>25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13">
      <c r="A17" s="8" t="s">
        <v>26</v>
      </c>
      <c r="B17" s="9">
        <f t="shared" ref="B17:M17" si="3">B7+B8</f>
        <v>1</v>
      </c>
      <c r="C17" s="9">
        <f t="shared" si="3"/>
        <v>1</v>
      </c>
      <c r="D17" s="9">
        <f t="shared" si="3"/>
        <v>1</v>
      </c>
      <c r="E17" s="9">
        <f t="shared" si="3"/>
        <v>0</v>
      </c>
      <c r="F17" s="9">
        <f t="shared" si="3"/>
        <v>0</v>
      </c>
      <c r="G17" s="9">
        <f t="shared" si="3"/>
        <v>0</v>
      </c>
      <c r="H17" s="9">
        <f t="shared" si="3"/>
        <v>0</v>
      </c>
      <c r="I17" s="9">
        <f t="shared" si="3"/>
        <v>0</v>
      </c>
      <c r="J17" s="9">
        <f t="shared" si="3"/>
        <v>0</v>
      </c>
      <c r="K17" s="9">
        <f t="shared" si="3"/>
        <v>0</v>
      </c>
      <c r="L17" s="9">
        <f t="shared" si="3"/>
        <v>0</v>
      </c>
      <c r="M17" s="9">
        <f t="shared" si="3"/>
        <v>0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16AEE-EEF3-41FC-9011-B3FA05A2337A}">
  <dimension ref="A1:M19"/>
  <sheetViews>
    <sheetView workbookViewId="0">
      <selection activeCell="N3" sqref="N3"/>
    </sheetView>
  </sheetViews>
  <sheetFormatPr defaultRowHeight="14.5"/>
  <sheetData>
    <row r="1" spans="1:13">
      <c r="A1" s="41" t="s">
        <v>27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3"/>
    </row>
    <row r="2" spans="1:13">
      <c r="A2" s="44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6"/>
    </row>
    <row r="3" spans="1:13">
      <c r="A3" s="47" t="s">
        <v>1</v>
      </c>
      <c r="B3" s="47" t="s">
        <v>2</v>
      </c>
      <c r="C3" s="47" t="s">
        <v>3</v>
      </c>
      <c r="D3" s="47"/>
      <c r="E3" s="47"/>
      <c r="F3" s="47"/>
      <c r="G3" s="47"/>
      <c r="H3" s="47"/>
      <c r="I3" s="47"/>
      <c r="J3" s="47"/>
      <c r="K3" s="47"/>
      <c r="L3" s="47"/>
      <c r="M3" s="47"/>
    </row>
    <row r="4" spans="1:13">
      <c r="A4" s="47"/>
      <c r="B4" s="47"/>
      <c r="C4" s="47" t="s">
        <v>4</v>
      </c>
      <c r="D4" s="47"/>
      <c r="E4" s="47"/>
      <c r="F4" s="47"/>
      <c r="G4" s="47"/>
      <c r="H4" s="47" t="s">
        <v>5</v>
      </c>
      <c r="I4" s="47" t="s">
        <v>6</v>
      </c>
      <c r="J4" s="47"/>
      <c r="K4" s="47"/>
      <c r="L4" s="1" t="s">
        <v>7</v>
      </c>
      <c r="M4" s="1" t="s">
        <v>8</v>
      </c>
    </row>
    <row r="5" spans="1:13">
      <c r="A5" s="47"/>
      <c r="B5" s="47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47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18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18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18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6F58-BBC1-4BAD-8576-583DC692D30D}">
  <dimension ref="A1:I7"/>
  <sheetViews>
    <sheetView workbookViewId="0">
      <selection activeCell="F3" sqref="F3"/>
    </sheetView>
  </sheetViews>
  <sheetFormatPr defaultRowHeight="14.5"/>
  <sheetData>
    <row r="1" spans="1:9">
      <c r="A1" s="50" t="s">
        <v>40</v>
      </c>
      <c r="B1" s="50" t="s">
        <v>41</v>
      </c>
      <c r="C1" s="50" t="s">
        <v>42</v>
      </c>
      <c r="D1" s="52" t="s">
        <v>43</v>
      </c>
      <c r="E1" s="53"/>
      <c r="F1" s="53"/>
      <c r="G1" s="54"/>
      <c r="H1" s="48" t="s">
        <v>44</v>
      </c>
      <c r="I1" s="48" t="s">
        <v>45</v>
      </c>
    </row>
    <row r="2" spans="1:9">
      <c r="A2" s="51"/>
      <c r="B2" s="51"/>
      <c r="C2" s="51"/>
      <c r="D2" s="22" t="s">
        <v>46</v>
      </c>
      <c r="E2" s="22" t="s">
        <v>47</v>
      </c>
      <c r="F2" s="22" t="s">
        <v>48</v>
      </c>
      <c r="G2" s="22" t="s">
        <v>49</v>
      </c>
      <c r="H2" s="49"/>
      <c r="I2" s="49"/>
    </row>
    <row r="3" spans="1:9">
      <c r="A3" s="23" t="s">
        <v>9</v>
      </c>
      <c r="B3" s="23" t="s">
        <v>50</v>
      </c>
      <c r="C3" s="23">
        <v>36</v>
      </c>
      <c r="D3" s="24">
        <v>35</v>
      </c>
      <c r="E3" s="23">
        <f>D3/C3</f>
        <v>0.97222222222222221</v>
      </c>
      <c r="F3" s="23">
        <f>G3/D3</f>
        <v>0.97142857142857142</v>
      </c>
      <c r="G3" s="24">
        <v>34</v>
      </c>
      <c r="H3" s="24"/>
      <c r="I3" s="23">
        <f>C3-D3</f>
        <v>1</v>
      </c>
    </row>
    <row r="4" spans="1:9">
      <c r="A4" s="23" t="s">
        <v>10</v>
      </c>
      <c r="B4" s="23" t="s">
        <v>50</v>
      </c>
      <c r="C4" s="23">
        <v>439</v>
      </c>
      <c r="D4" s="24">
        <v>439</v>
      </c>
      <c r="E4" s="23">
        <f>D4/C4</f>
        <v>1</v>
      </c>
      <c r="F4" s="23">
        <f t="shared" ref="F4:F7" si="0">G4/D4</f>
        <v>0.99772209567198178</v>
      </c>
      <c r="G4" s="24">
        <v>438</v>
      </c>
      <c r="H4" s="24"/>
      <c r="I4" s="23">
        <f>C4-D4</f>
        <v>0</v>
      </c>
    </row>
    <row r="5" spans="1:9">
      <c r="A5" s="23" t="s">
        <v>52</v>
      </c>
      <c r="B5" s="23" t="s">
        <v>50</v>
      </c>
      <c r="C5" s="23">
        <v>27</v>
      </c>
      <c r="D5" s="24">
        <v>27</v>
      </c>
      <c r="E5" s="23">
        <f>D5/C5</f>
        <v>1</v>
      </c>
      <c r="F5" s="23">
        <f t="shared" si="0"/>
        <v>1</v>
      </c>
      <c r="G5" s="24">
        <v>27</v>
      </c>
      <c r="H5" s="24"/>
      <c r="I5" s="23">
        <f t="shared" ref="I5:I7" si="1">C5-D5</f>
        <v>0</v>
      </c>
    </row>
    <row r="6" spans="1:9">
      <c r="A6" s="23" t="s">
        <v>53</v>
      </c>
      <c r="B6" s="23" t="s">
        <v>50</v>
      </c>
      <c r="C6" s="23">
        <v>6</v>
      </c>
      <c r="D6" s="24">
        <v>6</v>
      </c>
      <c r="E6" s="23">
        <f>D6/C6</f>
        <v>1</v>
      </c>
      <c r="F6" s="23">
        <f t="shared" si="0"/>
        <v>0.83333333333333337</v>
      </c>
      <c r="G6" s="24">
        <v>5</v>
      </c>
      <c r="H6" s="24"/>
      <c r="I6" s="23">
        <f t="shared" si="1"/>
        <v>0</v>
      </c>
    </row>
    <row r="7" spans="1:9">
      <c r="A7" s="23" t="s">
        <v>5</v>
      </c>
      <c r="B7" s="23" t="s">
        <v>51</v>
      </c>
      <c r="C7" s="23">
        <v>2073</v>
      </c>
      <c r="D7" s="24">
        <v>2073</v>
      </c>
      <c r="E7" s="23">
        <f>D7/C7</f>
        <v>1</v>
      </c>
      <c r="F7" s="23">
        <f t="shared" si="0"/>
        <v>1</v>
      </c>
      <c r="G7" s="24">
        <v>2073</v>
      </c>
      <c r="H7" s="24"/>
      <c r="I7" s="23">
        <f t="shared" si="1"/>
        <v>0</v>
      </c>
    </row>
  </sheetData>
  <mergeCells count="6">
    <mergeCell ref="I1:I2"/>
    <mergeCell ref="A1:A2"/>
    <mergeCell ref="B1:B2"/>
    <mergeCell ref="C1:C2"/>
    <mergeCell ref="D1:G1"/>
    <mergeCell ref="H1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F165-9D3D-496E-8012-68B69501198F}">
  <dimension ref="A1:E7"/>
  <sheetViews>
    <sheetView workbookViewId="0">
      <selection activeCell="C2" sqref="C2:I6"/>
    </sheetView>
  </sheetViews>
  <sheetFormatPr defaultRowHeight="14.5"/>
  <sheetData>
    <row r="1" spans="1:5" ht="24">
      <c r="A1" s="25" t="s">
        <v>54</v>
      </c>
      <c r="B1" s="25" t="s">
        <v>41</v>
      </c>
      <c r="C1" s="26" t="s">
        <v>55</v>
      </c>
      <c r="D1" s="26" t="s">
        <v>43</v>
      </c>
      <c r="E1" s="26" t="s">
        <v>45</v>
      </c>
    </row>
    <row r="2" spans="1:5">
      <c r="A2" s="25" t="s">
        <v>56</v>
      </c>
      <c r="B2" s="25" t="s">
        <v>57</v>
      </c>
      <c r="C2" s="26"/>
      <c r="D2" s="26"/>
      <c r="E2" s="26"/>
    </row>
    <row r="3" spans="1:5">
      <c r="A3" s="26" t="s">
        <v>58</v>
      </c>
      <c r="B3" s="25" t="s">
        <v>57</v>
      </c>
      <c r="C3" s="27"/>
      <c r="D3" s="27"/>
      <c r="E3" s="27"/>
    </row>
    <row r="4" spans="1:5">
      <c r="A4" s="26" t="s">
        <v>59</v>
      </c>
      <c r="B4" s="25" t="s">
        <v>57</v>
      </c>
      <c r="C4" s="27"/>
      <c r="D4" s="27"/>
      <c r="E4" s="27"/>
    </row>
    <row r="5" spans="1:5">
      <c r="A5" s="26" t="s">
        <v>60</v>
      </c>
      <c r="B5" s="25" t="s">
        <v>57</v>
      </c>
      <c r="C5" s="27"/>
      <c r="D5" s="27"/>
      <c r="E5" s="27"/>
    </row>
    <row r="6" spans="1:5">
      <c r="A6" s="26" t="s">
        <v>61</v>
      </c>
      <c r="B6" s="25" t="s">
        <v>57</v>
      </c>
      <c r="C6" s="27"/>
      <c r="D6" s="27"/>
      <c r="E6" s="27"/>
    </row>
    <row r="7" spans="1:5">
      <c r="A7" s="26" t="s">
        <v>62</v>
      </c>
      <c r="B7" s="25" t="s">
        <v>57</v>
      </c>
      <c r="C7" s="27"/>
      <c r="D7" s="27"/>
      <c r="E7" s="2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D6F2A-F3DA-482E-A27C-72512E35A6E7}">
  <dimension ref="A1:I7"/>
  <sheetViews>
    <sheetView workbookViewId="0">
      <selection activeCell="D1" sqref="D1:F1"/>
    </sheetView>
  </sheetViews>
  <sheetFormatPr defaultRowHeight="14.5"/>
  <sheetData>
    <row r="1" spans="1:9">
      <c r="A1" s="55" t="s">
        <v>63</v>
      </c>
      <c r="B1" s="57" t="s">
        <v>54</v>
      </c>
      <c r="C1" s="57" t="s">
        <v>41</v>
      </c>
      <c r="D1" s="59" t="s">
        <v>44</v>
      </c>
      <c r="E1" s="60"/>
      <c r="F1" s="61"/>
      <c r="G1" s="62" t="s">
        <v>64</v>
      </c>
      <c r="H1" s="63"/>
      <c r="I1" s="64"/>
    </row>
    <row r="2" spans="1:9">
      <c r="A2" s="56"/>
      <c r="B2" s="58"/>
      <c r="C2" s="58"/>
      <c r="D2" s="26" t="s">
        <v>65</v>
      </c>
      <c r="E2" s="26" t="s">
        <v>66</v>
      </c>
      <c r="F2" s="26" t="s">
        <v>46</v>
      </c>
      <c r="G2" s="28" t="s">
        <v>65</v>
      </c>
      <c r="H2" s="28" t="s">
        <v>66</v>
      </c>
      <c r="I2" s="28" t="s">
        <v>46</v>
      </c>
    </row>
    <row r="3" spans="1:9">
      <c r="A3" s="24">
        <v>1</v>
      </c>
      <c r="B3" s="26"/>
      <c r="C3" s="25"/>
      <c r="D3" s="27"/>
      <c r="E3" s="27"/>
      <c r="F3" s="27"/>
      <c r="G3" s="24"/>
      <c r="H3" s="24"/>
      <c r="I3" s="24"/>
    </row>
    <row r="4" spans="1:9">
      <c r="A4" s="24">
        <v>2</v>
      </c>
      <c r="B4" s="26"/>
      <c r="C4" s="25"/>
      <c r="D4" s="27"/>
      <c r="E4" s="27"/>
      <c r="F4" s="27"/>
      <c r="G4" s="24"/>
      <c r="H4" s="24"/>
      <c r="I4" s="24"/>
    </row>
    <row r="5" spans="1:9">
      <c r="A5" s="24">
        <v>3</v>
      </c>
      <c r="B5" s="26"/>
      <c r="C5" s="25"/>
      <c r="D5" s="27"/>
      <c r="E5" s="27"/>
      <c r="F5" s="27"/>
      <c r="G5" s="24"/>
      <c r="H5" s="24"/>
      <c r="I5" s="24"/>
    </row>
    <row r="6" spans="1:9">
      <c r="A6" s="24">
        <v>4</v>
      </c>
      <c r="B6" s="26"/>
      <c r="C6" s="25"/>
      <c r="D6" s="27"/>
      <c r="E6" s="27"/>
      <c r="F6" s="27"/>
      <c r="G6" s="24"/>
      <c r="H6" s="24"/>
      <c r="I6" s="24"/>
    </row>
    <row r="7" spans="1:9">
      <c r="A7" s="24">
        <v>5</v>
      </c>
      <c r="B7" s="26"/>
      <c r="C7" s="25"/>
      <c r="D7" s="27"/>
      <c r="E7" s="27"/>
      <c r="F7" s="27"/>
      <c r="G7" s="24"/>
      <c r="H7" s="24"/>
      <c r="I7" s="24"/>
    </row>
  </sheetData>
  <mergeCells count="5">
    <mergeCell ref="A1:A2"/>
    <mergeCell ref="B1:B2"/>
    <mergeCell ref="C1:C2"/>
    <mergeCell ref="D1:F1"/>
    <mergeCell ref="G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B609-02C3-4480-ABA1-81B8EB7FC6E5}">
  <dimension ref="A1:M19"/>
  <sheetViews>
    <sheetView topLeftCell="A7" workbookViewId="0">
      <selection sqref="A1:M2"/>
    </sheetView>
  </sheetViews>
  <sheetFormatPr defaultRowHeight="14.5"/>
  <sheetData>
    <row r="1" spans="1:13">
      <c r="A1" s="41" t="s">
        <v>27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3"/>
    </row>
    <row r="2" spans="1:13">
      <c r="A2" s="44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6"/>
    </row>
    <row r="3" spans="1:13">
      <c r="A3" s="47" t="s">
        <v>1</v>
      </c>
      <c r="B3" s="47" t="s">
        <v>2</v>
      </c>
      <c r="C3" s="47" t="s">
        <v>3</v>
      </c>
      <c r="D3" s="47"/>
      <c r="E3" s="47"/>
      <c r="F3" s="47"/>
      <c r="G3" s="47"/>
      <c r="H3" s="47"/>
      <c r="I3" s="47"/>
      <c r="J3" s="47"/>
      <c r="K3" s="47"/>
      <c r="L3" s="47"/>
      <c r="M3" s="47"/>
    </row>
    <row r="4" spans="1:13">
      <c r="A4" s="47"/>
      <c r="B4" s="47"/>
      <c r="C4" s="47" t="s">
        <v>4</v>
      </c>
      <c r="D4" s="47"/>
      <c r="E4" s="47"/>
      <c r="F4" s="47"/>
      <c r="G4" s="47"/>
      <c r="H4" s="47" t="s">
        <v>5</v>
      </c>
      <c r="I4" s="47" t="s">
        <v>6</v>
      </c>
      <c r="J4" s="47"/>
      <c r="K4" s="47"/>
      <c r="L4" s="1" t="s">
        <v>7</v>
      </c>
      <c r="M4" s="1" t="s">
        <v>8</v>
      </c>
    </row>
    <row r="5" spans="1:13">
      <c r="A5" s="47"/>
      <c r="B5" s="47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47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18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18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18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F06B-A044-4E5A-A947-A016657D51E8}">
  <dimension ref="A1:M16"/>
  <sheetViews>
    <sheetView topLeftCell="A13" workbookViewId="0">
      <selection activeCell="F9" sqref="F9"/>
    </sheetView>
  </sheetViews>
  <sheetFormatPr defaultRowHeight="14.5"/>
  <cols>
    <col min="2" max="2" width="17" customWidth="1"/>
  </cols>
  <sheetData>
    <row r="1" spans="1:13">
      <c r="A1" s="84" t="s">
        <v>63</v>
      </c>
      <c r="B1" s="84" t="s">
        <v>67</v>
      </c>
      <c r="C1" s="87" t="s">
        <v>68</v>
      </c>
      <c r="D1" s="88"/>
      <c r="E1" s="88"/>
      <c r="F1" s="89"/>
      <c r="G1" s="87" t="s">
        <v>69</v>
      </c>
      <c r="H1" s="88"/>
      <c r="I1" s="89"/>
      <c r="J1" s="87" t="s">
        <v>70</v>
      </c>
      <c r="K1" s="88"/>
      <c r="L1" s="88"/>
      <c r="M1" s="89"/>
    </row>
    <row r="2" spans="1:13" ht="14.5" customHeight="1">
      <c r="A2" s="85"/>
      <c r="B2" s="85"/>
      <c r="C2" s="84" t="s">
        <v>71</v>
      </c>
      <c r="D2" s="84" t="s">
        <v>72</v>
      </c>
      <c r="E2" s="84" t="s">
        <v>73</v>
      </c>
      <c r="F2" s="84" t="s">
        <v>46</v>
      </c>
      <c r="G2" s="84" t="s">
        <v>74</v>
      </c>
      <c r="H2" s="84" t="s">
        <v>75</v>
      </c>
      <c r="I2" s="84" t="s">
        <v>76</v>
      </c>
      <c r="J2" s="94" t="s">
        <v>77</v>
      </c>
      <c r="K2" s="95"/>
      <c r="L2" s="90" t="s">
        <v>78</v>
      </c>
      <c r="M2" s="91"/>
    </row>
    <row r="3" spans="1:13">
      <c r="A3" s="85"/>
      <c r="B3" s="85"/>
      <c r="C3" s="85"/>
      <c r="D3" s="85"/>
      <c r="E3" s="85"/>
      <c r="F3" s="85"/>
      <c r="G3" s="85"/>
      <c r="H3" s="85"/>
      <c r="I3" s="85"/>
      <c r="J3" s="96"/>
      <c r="K3" s="97"/>
      <c r="L3" s="92"/>
      <c r="M3" s="93"/>
    </row>
    <row r="4" spans="1:13">
      <c r="A4" s="86"/>
      <c r="B4" s="86"/>
      <c r="C4" s="86"/>
      <c r="D4" s="86"/>
      <c r="E4" s="86"/>
      <c r="F4" s="86"/>
      <c r="G4" s="86"/>
      <c r="H4" s="86"/>
      <c r="I4" s="86"/>
      <c r="J4" s="29" t="s">
        <v>79</v>
      </c>
      <c r="K4" s="29" t="s">
        <v>80</v>
      </c>
      <c r="L4" s="29" t="s">
        <v>79</v>
      </c>
      <c r="M4" s="29" t="s">
        <v>80</v>
      </c>
    </row>
    <row r="5" spans="1:13">
      <c r="A5" s="29">
        <v>1</v>
      </c>
      <c r="B5" s="74" t="s">
        <v>115</v>
      </c>
      <c r="C5" s="29">
        <f>SUM(C6:C12)</f>
        <v>2</v>
      </c>
      <c r="D5" s="29">
        <f>SUM(D6:D12)</f>
        <v>5</v>
      </c>
      <c r="E5" s="29">
        <f>SUM(E6:E12)</f>
        <v>54</v>
      </c>
      <c r="F5" s="29">
        <f>SUM(F6:F12)</f>
        <v>61</v>
      </c>
      <c r="G5" s="29"/>
      <c r="H5" s="29"/>
      <c r="I5" s="29"/>
      <c r="J5" s="29"/>
      <c r="K5" s="29"/>
      <c r="L5" s="29"/>
      <c r="M5" s="29"/>
    </row>
    <row r="6" spans="1:13">
      <c r="A6" s="29" t="s">
        <v>116</v>
      </c>
      <c r="B6" s="75" t="s">
        <v>117</v>
      </c>
      <c r="C6" s="29">
        <v>1</v>
      </c>
      <c r="D6" s="29"/>
      <c r="E6" s="29"/>
      <c r="F6" s="29">
        <f t="shared" ref="F6:F11" si="0">SUM(C6:E6)</f>
        <v>1</v>
      </c>
      <c r="G6" s="29"/>
      <c r="H6" s="29"/>
      <c r="I6" s="29"/>
      <c r="J6" s="29"/>
      <c r="K6" s="29"/>
      <c r="L6" s="29"/>
      <c r="M6" s="29"/>
    </row>
    <row r="7" spans="1:13">
      <c r="A7" s="29" t="s">
        <v>116</v>
      </c>
      <c r="B7" s="75" t="s">
        <v>118</v>
      </c>
      <c r="C7" s="29"/>
      <c r="D7" s="29">
        <v>1</v>
      </c>
      <c r="E7" s="29"/>
      <c r="F7" s="29">
        <f t="shared" si="0"/>
        <v>1</v>
      </c>
      <c r="G7" s="29"/>
      <c r="H7" s="29"/>
      <c r="I7" s="29"/>
      <c r="J7" s="29"/>
      <c r="K7" s="29"/>
      <c r="L7" s="29"/>
      <c r="M7" s="29"/>
    </row>
    <row r="8" spans="1:13">
      <c r="A8" s="29" t="s">
        <v>116</v>
      </c>
      <c r="B8" s="76" t="s">
        <v>119</v>
      </c>
      <c r="C8" s="29"/>
      <c r="D8" s="29">
        <v>1</v>
      </c>
      <c r="E8" s="29"/>
      <c r="F8" s="29">
        <f t="shared" si="0"/>
        <v>1</v>
      </c>
      <c r="G8" s="29"/>
      <c r="H8" s="29"/>
      <c r="I8" s="29"/>
      <c r="J8" s="29"/>
      <c r="K8" s="29"/>
      <c r="L8" s="29"/>
      <c r="M8" s="29"/>
    </row>
    <row r="9" spans="1:13">
      <c r="A9" s="29" t="s">
        <v>116</v>
      </c>
      <c r="B9" s="75" t="s">
        <v>120</v>
      </c>
      <c r="C9" s="29"/>
      <c r="D9" s="29">
        <v>1</v>
      </c>
      <c r="E9" s="29"/>
      <c r="F9" s="29">
        <f t="shared" si="0"/>
        <v>1</v>
      </c>
      <c r="G9" s="29"/>
      <c r="H9" s="29"/>
      <c r="I9" s="29"/>
      <c r="J9" s="29"/>
      <c r="K9" s="29"/>
      <c r="L9" s="29"/>
      <c r="M9" s="29"/>
    </row>
    <row r="10" spans="1:13">
      <c r="A10" s="29" t="s">
        <v>116</v>
      </c>
      <c r="B10" s="75" t="s">
        <v>121</v>
      </c>
      <c r="C10" s="29"/>
      <c r="D10" s="29">
        <v>1</v>
      </c>
      <c r="E10" s="29">
        <v>2</v>
      </c>
      <c r="F10" s="29">
        <f t="shared" si="0"/>
        <v>3</v>
      </c>
      <c r="G10" s="29"/>
      <c r="H10" s="29"/>
      <c r="I10" s="29"/>
      <c r="J10" s="29"/>
      <c r="K10" s="29"/>
      <c r="L10" s="29"/>
      <c r="M10" s="29"/>
    </row>
    <row r="11" spans="1:13">
      <c r="A11" s="29" t="s">
        <v>116</v>
      </c>
      <c r="B11" s="75" t="s">
        <v>122</v>
      </c>
      <c r="C11" s="29">
        <v>1</v>
      </c>
      <c r="D11" s="29"/>
      <c r="E11" s="29">
        <v>27</v>
      </c>
      <c r="F11" s="29">
        <f>SUM(C11:E11)</f>
        <v>28</v>
      </c>
      <c r="G11" s="29"/>
      <c r="H11" s="29"/>
      <c r="I11" s="29"/>
      <c r="J11" s="29"/>
      <c r="K11" s="29"/>
      <c r="L11" s="29"/>
      <c r="M11" s="29"/>
    </row>
    <row r="12" spans="1:13">
      <c r="A12" s="77" t="s">
        <v>116</v>
      </c>
      <c r="B12" s="78" t="s">
        <v>123</v>
      </c>
      <c r="C12" s="79"/>
      <c r="D12" s="79">
        <v>1</v>
      </c>
      <c r="E12" s="79">
        <v>25</v>
      </c>
      <c r="F12" s="29">
        <f>SUM(C12:E12)</f>
        <v>26</v>
      </c>
      <c r="G12" s="79"/>
      <c r="H12" s="79"/>
      <c r="I12" s="79"/>
      <c r="J12" s="79"/>
      <c r="K12" s="79"/>
      <c r="L12" s="79"/>
      <c r="M12" s="79"/>
    </row>
    <row r="13" spans="1:13">
      <c r="A13" s="29">
        <v>2</v>
      </c>
      <c r="B13" s="80" t="s">
        <v>124</v>
      </c>
      <c r="C13" s="29">
        <f>C14+C15+C16</f>
        <v>1</v>
      </c>
      <c r="D13" s="29">
        <f>D14+D15+D16</f>
        <v>4</v>
      </c>
      <c r="E13" s="29">
        <f>E14+E15+E16</f>
        <v>29</v>
      </c>
      <c r="F13" s="29">
        <f>F14+F15+F16</f>
        <v>34</v>
      </c>
      <c r="G13" s="80"/>
      <c r="H13" s="80"/>
      <c r="I13" s="80"/>
      <c r="J13" s="80"/>
      <c r="K13" s="80"/>
      <c r="L13" s="80"/>
      <c r="M13" s="80"/>
    </row>
    <row r="14" spans="1:13">
      <c r="A14" s="29" t="s">
        <v>116</v>
      </c>
      <c r="B14" s="75" t="s">
        <v>125</v>
      </c>
      <c r="C14" s="29"/>
      <c r="D14" s="29">
        <v>1</v>
      </c>
      <c r="E14" s="29">
        <v>2</v>
      </c>
      <c r="F14" s="29">
        <f>SUM(C14:E14)</f>
        <v>3</v>
      </c>
      <c r="G14" s="80"/>
      <c r="H14" s="80"/>
      <c r="I14" s="80"/>
      <c r="J14" s="80"/>
      <c r="K14" s="80"/>
      <c r="L14" s="80"/>
      <c r="M14" s="80"/>
    </row>
    <row r="15" spans="1:13">
      <c r="A15" s="29" t="s">
        <v>116</v>
      </c>
      <c r="B15" s="81" t="s">
        <v>126</v>
      </c>
      <c r="C15" s="82">
        <v>1</v>
      </c>
      <c r="D15" s="82"/>
      <c r="E15" s="82">
        <v>27</v>
      </c>
      <c r="F15" s="29">
        <f>SUM(C15:E15)</f>
        <v>28</v>
      </c>
      <c r="G15" s="73"/>
      <c r="H15" s="73"/>
      <c r="I15" s="73"/>
      <c r="J15" s="73"/>
      <c r="K15" s="73"/>
      <c r="L15" s="73"/>
      <c r="M15" s="73"/>
    </row>
    <row r="16" spans="1:13">
      <c r="A16" s="82" t="s">
        <v>116</v>
      </c>
      <c r="B16" s="83" t="s">
        <v>127</v>
      </c>
      <c r="C16" s="82"/>
      <c r="D16" s="82">
        <v>3</v>
      </c>
      <c r="E16" s="82"/>
      <c r="F16" s="29">
        <f>SUM(C16:E16)</f>
        <v>3</v>
      </c>
      <c r="G16" s="73"/>
      <c r="H16" s="73"/>
      <c r="I16" s="73"/>
      <c r="J16" s="73"/>
      <c r="K16" s="73"/>
      <c r="L16" s="73"/>
      <c r="M16" s="73"/>
    </row>
  </sheetData>
  <mergeCells count="14">
    <mergeCell ref="H2:H4"/>
    <mergeCell ref="I2:I4"/>
    <mergeCell ref="J2:K3"/>
    <mergeCell ref="L2:M3"/>
    <mergeCell ref="A1:A4"/>
    <mergeCell ref="B1:B4"/>
    <mergeCell ref="C1:F1"/>
    <mergeCell ref="G1:I1"/>
    <mergeCell ref="J1:M1"/>
    <mergeCell ref="C2:C4"/>
    <mergeCell ref="D2:D4"/>
    <mergeCell ref="E2:E4"/>
    <mergeCell ref="F2:F4"/>
    <mergeCell ref="G2:G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BFD24-F416-4E13-BF3D-CA2831AC61D2}">
  <dimension ref="A1:M47"/>
  <sheetViews>
    <sheetView zoomScale="85" zoomScaleNormal="85" workbookViewId="0">
      <selection activeCell="O8" sqref="O8"/>
    </sheetView>
  </sheetViews>
  <sheetFormatPr defaultRowHeight="14.5"/>
  <cols>
    <col min="2" max="2" width="16.6328125" customWidth="1"/>
    <col min="3" max="3" width="9.453125" customWidth="1"/>
  </cols>
  <sheetData>
    <row r="1" spans="1:13" ht="15.5" thickBot="1">
      <c r="A1" s="65" t="s">
        <v>66</v>
      </c>
      <c r="B1" s="65" t="s">
        <v>81</v>
      </c>
      <c r="C1" s="65" t="s">
        <v>82</v>
      </c>
      <c r="D1" s="65" t="s">
        <v>83</v>
      </c>
      <c r="E1" s="67" t="s">
        <v>43</v>
      </c>
      <c r="F1" s="68"/>
      <c r="G1" s="68"/>
      <c r="H1" s="69"/>
      <c r="I1" s="65" t="s">
        <v>84</v>
      </c>
      <c r="J1" s="67" t="s">
        <v>85</v>
      </c>
      <c r="K1" s="68"/>
      <c r="L1" s="68"/>
      <c r="M1" s="69"/>
    </row>
    <row r="2" spans="1:13" ht="30.5" thickBot="1">
      <c r="A2" s="66"/>
      <c r="B2" s="66"/>
      <c r="C2" s="66"/>
      <c r="D2" s="66"/>
      <c r="E2" s="30" t="s">
        <v>86</v>
      </c>
      <c r="F2" s="30" t="s">
        <v>49</v>
      </c>
      <c r="G2" s="30" t="s">
        <v>87</v>
      </c>
      <c r="H2" s="30" t="s">
        <v>88</v>
      </c>
      <c r="I2" s="66"/>
      <c r="J2" s="30" t="s">
        <v>89</v>
      </c>
      <c r="K2" s="30" t="s">
        <v>90</v>
      </c>
      <c r="L2" s="30" t="s">
        <v>91</v>
      </c>
      <c r="M2" s="30" t="s">
        <v>92</v>
      </c>
    </row>
    <row r="3" spans="1:13" ht="36.5" thickBot="1">
      <c r="A3" s="70" t="s">
        <v>93</v>
      </c>
      <c r="B3" s="31" t="s">
        <v>94</v>
      </c>
      <c r="C3" s="32" t="s">
        <v>50</v>
      </c>
      <c r="D3" s="33">
        <v>9</v>
      </c>
      <c r="E3" s="33">
        <v>9</v>
      </c>
      <c r="F3" s="33">
        <v>9</v>
      </c>
      <c r="G3" s="33">
        <f>E3/D3</f>
        <v>1</v>
      </c>
      <c r="H3" s="33">
        <f>F3/E3</f>
        <v>1</v>
      </c>
      <c r="I3" s="33">
        <f>D3</f>
        <v>9</v>
      </c>
      <c r="J3" s="33">
        <f>D3-E3</f>
        <v>0</v>
      </c>
      <c r="K3" s="31"/>
      <c r="L3" s="31"/>
      <c r="M3" s="31"/>
    </row>
    <row r="4" spans="1:13" ht="18.5" thickBot="1">
      <c r="A4" s="71"/>
      <c r="B4" s="34" t="s">
        <v>95</v>
      </c>
      <c r="C4" s="32" t="s">
        <v>50</v>
      </c>
      <c r="D4" s="35">
        <v>4</v>
      </c>
      <c r="E4" s="33">
        <v>4</v>
      </c>
      <c r="F4" s="33">
        <v>4</v>
      </c>
      <c r="G4" s="33">
        <f t="shared" ref="G4:H47" si="0">E4/D4</f>
        <v>1</v>
      </c>
      <c r="H4" s="33">
        <f t="shared" si="0"/>
        <v>1</v>
      </c>
      <c r="I4" s="33">
        <f t="shared" ref="I4:I47" si="1">D4</f>
        <v>4</v>
      </c>
      <c r="J4" s="33">
        <f t="shared" ref="J4:J47" si="2">D4-E4</f>
        <v>0</v>
      </c>
      <c r="K4" s="31"/>
      <c r="L4" s="31"/>
      <c r="M4" s="31"/>
    </row>
    <row r="5" spans="1:13" ht="18.5" thickBot="1">
      <c r="A5" s="71"/>
      <c r="B5" s="34" t="s">
        <v>96</v>
      </c>
      <c r="C5" s="32" t="s">
        <v>50</v>
      </c>
      <c r="D5" s="35">
        <v>4</v>
      </c>
      <c r="E5" s="33">
        <v>4</v>
      </c>
      <c r="F5" s="33">
        <v>4</v>
      </c>
      <c r="G5" s="33">
        <f t="shared" si="0"/>
        <v>1</v>
      </c>
      <c r="H5" s="33">
        <f t="shared" si="0"/>
        <v>1</v>
      </c>
      <c r="I5" s="33">
        <f t="shared" si="1"/>
        <v>4</v>
      </c>
      <c r="J5" s="33">
        <f>D5-E5</f>
        <v>0</v>
      </c>
      <c r="K5" s="31"/>
      <c r="L5" s="31"/>
      <c r="M5" s="31"/>
    </row>
    <row r="6" spans="1:13" ht="18.5" thickBot="1">
      <c r="A6" s="71"/>
      <c r="B6" s="34" t="s">
        <v>97</v>
      </c>
      <c r="C6" s="32" t="s">
        <v>50</v>
      </c>
      <c r="D6" s="35">
        <v>8</v>
      </c>
      <c r="E6" s="33">
        <v>8</v>
      </c>
      <c r="F6" s="33">
        <v>8</v>
      </c>
      <c r="G6" s="33">
        <f t="shared" si="0"/>
        <v>1</v>
      </c>
      <c r="H6" s="33">
        <f t="shared" si="0"/>
        <v>1</v>
      </c>
      <c r="I6" s="33">
        <f t="shared" si="1"/>
        <v>8</v>
      </c>
      <c r="J6" s="33">
        <f t="shared" si="2"/>
        <v>0</v>
      </c>
      <c r="K6" s="31"/>
      <c r="L6" s="31"/>
      <c r="M6" s="31"/>
    </row>
    <row r="7" spans="1:13" ht="18.5" thickBot="1">
      <c r="A7" s="71"/>
      <c r="B7" s="34" t="s">
        <v>98</v>
      </c>
      <c r="C7" s="32" t="s">
        <v>50</v>
      </c>
      <c r="D7" s="35">
        <v>9</v>
      </c>
      <c r="E7" s="33">
        <v>9</v>
      </c>
      <c r="F7" s="33">
        <v>9</v>
      </c>
      <c r="G7" s="33">
        <f t="shared" si="0"/>
        <v>1</v>
      </c>
      <c r="H7" s="33">
        <f t="shared" si="0"/>
        <v>1</v>
      </c>
      <c r="I7" s="33">
        <f t="shared" si="1"/>
        <v>9</v>
      </c>
      <c r="J7" s="33">
        <f t="shared" si="2"/>
        <v>0</v>
      </c>
      <c r="K7" s="31"/>
      <c r="L7" s="31"/>
      <c r="M7" s="31"/>
    </row>
    <row r="8" spans="1:13" ht="36.5" thickBot="1">
      <c r="A8" s="71"/>
      <c r="B8" s="34" t="s">
        <v>99</v>
      </c>
      <c r="C8" s="32" t="s">
        <v>50</v>
      </c>
      <c r="D8" s="35">
        <v>72</v>
      </c>
      <c r="E8" s="33">
        <v>72</v>
      </c>
      <c r="F8" s="33">
        <v>71</v>
      </c>
      <c r="G8" s="33">
        <f t="shared" si="0"/>
        <v>1</v>
      </c>
      <c r="H8" s="38">
        <f t="shared" si="0"/>
        <v>0.98611111111111116</v>
      </c>
      <c r="I8" s="33">
        <f t="shared" si="1"/>
        <v>72</v>
      </c>
      <c r="J8" s="33">
        <f t="shared" si="2"/>
        <v>0</v>
      </c>
      <c r="K8" s="31" t="s">
        <v>109</v>
      </c>
      <c r="L8" s="31" t="s">
        <v>110</v>
      </c>
      <c r="M8" s="31" t="s">
        <v>111</v>
      </c>
    </row>
    <row r="9" spans="1:13" ht="18.5" thickBot="1">
      <c r="A9" s="71"/>
      <c r="B9" s="34" t="s">
        <v>100</v>
      </c>
      <c r="C9" s="32" t="s">
        <v>50</v>
      </c>
      <c r="D9" s="35">
        <v>8</v>
      </c>
      <c r="E9" s="33">
        <v>8</v>
      </c>
      <c r="F9" s="33">
        <v>8</v>
      </c>
      <c r="G9" s="33">
        <f t="shared" si="0"/>
        <v>1</v>
      </c>
      <c r="H9" s="33">
        <f t="shared" si="0"/>
        <v>1</v>
      </c>
      <c r="I9" s="33">
        <f t="shared" si="1"/>
        <v>8</v>
      </c>
      <c r="J9" s="33">
        <f t="shared" si="2"/>
        <v>0</v>
      </c>
      <c r="K9" s="31"/>
      <c r="L9" s="31"/>
      <c r="M9" s="31"/>
    </row>
    <row r="10" spans="1:13" ht="18.5" thickBot="1">
      <c r="A10" s="71"/>
      <c r="B10" s="34" t="s">
        <v>101</v>
      </c>
      <c r="C10" s="32" t="s">
        <v>50</v>
      </c>
      <c r="D10" s="35">
        <v>36</v>
      </c>
      <c r="E10" s="33">
        <v>36</v>
      </c>
      <c r="F10" s="33">
        <v>36</v>
      </c>
      <c r="G10" s="33">
        <f t="shared" si="0"/>
        <v>1</v>
      </c>
      <c r="H10" s="33">
        <f t="shared" si="0"/>
        <v>1</v>
      </c>
      <c r="I10" s="33">
        <f t="shared" si="1"/>
        <v>36</v>
      </c>
      <c r="J10" s="33">
        <f t="shared" si="2"/>
        <v>0</v>
      </c>
      <c r="K10" s="31"/>
      <c r="L10" s="31"/>
      <c r="M10" s="31"/>
    </row>
    <row r="11" spans="1:13" ht="36.5" thickBot="1">
      <c r="A11" s="71"/>
      <c r="B11" s="34" t="s">
        <v>102</v>
      </c>
      <c r="C11" s="32" t="s">
        <v>50</v>
      </c>
      <c r="D11" s="35">
        <v>486</v>
      </c>
      <c r="E11" s="33">
        <v>486</v>
      </c>
      <c r="F11" s="33">
        <v>474</v>
      </c>
      <c r="G11" s="33">
        <f t="shared" si="0"/>
        <v>1</v>
      </c>
      <c r="H11" s="38">
        <f t="shared" si="0"/>
        <v>0.97530864197530864</v>
      </c>
      <c r="I11" s="33">
        <f t="shared" si="1"/>
        <v>486</v>
      </c>
      <c r="J11" s="33">
        <f t="shared" si="2"/>
        <v>0</v>
      </c>
      <c r="K11" s="31" t="s">
        <v>109</v>
      </c>
      <c r="L11" s="31" t="s">
        <v>110</v>
      </c>
      <c r="M11" s="31" t="s">
        <v>111</v>
      </c>
    </row>
    <row r="12" spans="1:13" ht="18.5" thickBot="1">
      <c r="A12" s="71"/>
      <c r="B12" s="34" t="s">
        <v>103</v>
      </c>
      <c r="C12" s="32" t="s">
        <v>50</v>
      </c>
      <c r="D12" s="35">
        <v>42</v>
      </c>
      <c r="E12" s="33">
        <v>42</v>
      </c>
      <c r="F12" s="33">
        <v>42</v>
      </c>
      <c r="G12" s="33">
        <f t="shared" si="0"/>
        <v>1</v>
      </c>
      <c r="H12" s="33">
        <f t="shared" si="0"/>
        <v>1</v>
      </c>
      <c r="I12" s="33">
        <f t="shared" si="1"/>
        <v>42</v>
      </c>
      <c r="J12" s="33">
        <f t="shared" si="2"/>
        <v>0</v>
      </c>
      <c r="K12" s="31"/>
      <c r="L12" s="31"/>
      <c r="M12" s="31"/>
    </row>
    <row r="13" spans="1:13" ht="18.5" thickBot="1">
      <c r="A13" s="72"/>
      <c r="B13" s="34" t="s">
        <v>5</v>
      </c>
      <c r="C13" s="32" t="s">
        <v>104</v>
      </c>
      <c r="D13" s="37">
        <v>2403</v>
      </c>
      <c r="E13" s="36">
        <v>2403</v>
      </c>
      <c r="F13" s="36">
        <v>2403</v>
      </c>
      <c r="G13" s="33">
        <f t="shared" si="0"/>
        <v>1</v>
      </c>
      <c r="H13" s="33">
        <f t="shared" si="0"/>
        <v>1</v>
      </c>
      <c r="I13" s="33">
        <f t="shared" si="1"/>
        <v>2403</v>
      </c>
      <c r="J13" s="33">
        <f t="shared" si="2"/>
        <v>0</v>
      </c>
      <c r="K13" s="31"/>
      <c r="L13" s="31"/>
      <c r="M13" s="31"/>
    </row>
    <row r="14" spans="1:13" ht="36.5" thickBot="1">
      <c r="A14" s="70" t="s">
        <v>105</v>
      </c>
      <c r="B14" s="31" t="s">
        <v>94</v>
      </c>
      <c r="C14" s="32" t="s">
        <v>50</v>
      </c>
      <c r="D14" s="33">
        <v>3</v>
      </c>
      <c r="E14" s="33">
        <v>3</v>
      </c>
      <c r="F14" s="33">
        <v>3</v>
      </c>
      <c r="G14" s="33">
        <f t="shared" si="0"/>
        <v>1</v>
      </c>
      <c r="H14" s="33">
        <f t="shared" si="0"/>
        <v>1</v>
      </c>
      <c r="I14" s="33">
        <f t="shared" si="1"/>
        <v>3</v>
      </c>
      <c r="J14" s="33">
        <f t="shared" si="2"/>
        <v>0</v>
      </c>
      <c r="K14" s="31"/>
      <c r="L14" s="31"/>
      <c r="M14" s="31"/>
    </row>
    <row r="15" spans="1:13" ht="18.5" thickBot="1">
      <c r="A15" s="71"/>
      <c r="B15" s="34" t="s">
        <v>113</v>
      </c>
      <c r="C15" s="32" t="s">
        <v>50</v>
      </c>
      <c r="D15" s="35">
        <v>3</v>
      </c>
      <c r="E15" s="33">
        <v>3</v>
      </c>
      <c r="F15" s="33">
        <v>3</v>
      </c>
      <c r="G15" s="33">
        <f t="shared" si="0"/>
        <v>1</v>
      </c>
      <c r="H15" s="33">
        <f t="shared" si="0"/>
        <v>1</v>
      </c>
      <c r="I15" s="33">
        <f t="shared" si="1"/>
        <v>3</v>
      </c>
      <c r="J15" s="33">
        <f t="shared" si="2"/>
        <v>0</v>
      </c>
      <c r="K15" s="31"/>
      <c r="L15" s="31"/>
      <c r="M15" s="31"/>
    </row>
    <row r="16" spans="1:13" ht="18.5" thickBot="1">
      <c r="A16" s="71"/>
      <c r="B16" s="34" t="s">
        <v>97</v>
      </c>
      <c r="C16" s="32" t="s">
        <v>50</v>
      </c>
      <c r="D16" s="35">
        <v>4</v>
      </c>
      <c r="E16" s="33">
        <v>4</v>
      </c>
      <c r="F16" s="33">
        <v>4</v>
      </c>
      <c r="G16" s="33">
        <f t="shared" si="0"/>
        <v>1</v>
      </c>
      <c r="H16" s="33">
        <f t="shared" si="0"/>
        <v>1</v>
      </c>
      <c r="I16" s="33">
        <f t="shared" si="1"/>
        <v>4</v>
      </c>
      <c r="J16" s="33">
        <f t="shared" si="2"/>
        <v>0</v>
      </c>
      <c r="K16" s="31"/>
      <c r="L16" s="31"/>
      <c r="M16" s="31"/>
    </row>
    <row r="17" spans="1:13" ht="18.5" thickBot="1">
      <c r="A17" s="71"/>
      <c r="B17" s="34" t="s">
        <v>98</v>
      </c>
      <c r="C17" s="32" t="s">
        <v>50</v>
      </c>
      <c r="D17" s="35">
        <v>3</v>
      </c>
      <c r="E17" s="33">
        <v>3</v>
      </c>
      <c r="F17" s="33">
        <v>3</v>
      </c>
      <c r="G17" s="33">
        <f t="shared" si="0"/>
        <v>1</v>
      </c>
      <c r="H17" s="33">
        <f t="shared" si="0"/>
        <v>1</v>
      </c>
      <c r="I17" s="33">
        <f t="shared" si="1"/>
        <v>3</v>
      </c>
      <c r="J17" s="33">
        <f t="shared" si="2"/>
        <v>0</v>
      </c>
      <c r="K17" s="31"/>
      <c r="L17" s="31"/>
      <c r="M17" s="31"/>
    </row>
    <row r="18" spans="1:13" ht="36.5" thickBot="1">
      <c r="A18" s="71"/>
      <c r="B18" s="34" t="s">
        <v>99</v>
      </c>
      <c r="C18" s="32" t="s">
        <v>50</v>
      </c>
      <c r="D18" s="35">
        <v>30</v>
      </c>
      <c r="E18" s="33">
        <v>30</v>
      </c>
      <c r="F18" s="33">
        <v>29</v>
      </c>
      <c r="G18" s="33">
        <f t="shared" si="0"/>
        <v>1</v>
      </c>
      <c r="H18" s="38">
        <f t="shared" si="0"/>
        <v>0.96666666666666667</v>
      </c>
      <c r="I18" s="33">
        <f t="shared" si="1"/>
        <v>30</v>
      </c>
      <c r="J18" s="33">
        <f t="shared" si="2"/>
        <v>0</v>
      </c>
      <c r="K18" s="31" t="s">
        <v>109</v>
      </c>
      <c r="L18" s="31" t="s">
        <v>110</v>
      </c>
      <c r="M18" s="31" t="s">
        <v>111</v>
      </c>
    </row>
    <row r="19" spans="1:13" ht="18.5" thickBot="1">
      <c r="A19" s="71"/>
      <c r="B19" s="34" t="s">
        <v>100</v>
      </c>
      <c r="C19" s="32" t="s">
        <v>50</v>
      </c>
      <c r="D19" s="35">
        <v>4</v>
      </c>
      <c r="E19" s="33">
        <v>4</v>
      </c>
      <c r="F19" s="33">
        <v>4</v>
      </c>
      <c r="G19" s="33">
        <f t="shared" si="0"/>
        <v>1</v>
      </c>
      <c r="H19" s="33">
        <f t="shared" si="0"/>
        <v>1</v>
      </c>
      <c r="I19" s="33">
        <f t="shared" si="1"/>
        <v>4</v>
      </c>
      <c r="J19" s="33">
        <f t="shared" si="2"/>
        <v>0</v>
      </c>
      <c r="K19" s="31"/>
      <c r="L19" s="31"/>
      <c r="M19" s="31"/>
    </row>
    <row r="20" spans="1:13" ht="18.5" thickBot="1">
      <c r="A20" s="71"/>
      <c r="B20" s="34" t="s">
        <v>101</v>
      </c>
      <c r="C20" s="32" t="s">
        <v>50</v>
      </c>
      <c r="D20" s="35">
        <v>18</v>
      </c>
      <c r="E20" s="33">
        <v>18</v>
      </c>
      <c r="F20" s="33">
        <v>18</v>
      </c>
      <c r="G20" s="33">
        <f t="shared" si="0"/>
        <v>1</v>
      </c>
      <c r="H20" s="33">
        <f t="shared" si="0"/>
        <v>1</v>
      </c>
      <c r="I20" s="33">
        <f t="shared" si="1"/>
        <v>18</v>
      </c>
      <c r="J20" s="33">
        <f t="shared" si="2"/>
        <v>0</v>
      </c>
      <c r="K20" s="31"/>
      <c r="L20" s="31"/>
      <c r="M20" s="31"/>
    </row>
    <row r="21" spans="1:13" ht="36.5" thickBot="1">
      <c r="A21" s="71"/>
      <c r="B21" s="34" t="s">
        <v>102</v>
      </c>
      <c r="C21" s="32" t="s">
        <v>50</v>
      </c>
      <c r="D21" s="35">
        <v>161</v>
      </c>
      <c r="E21" s="33">
        <v>161</v>
      </c>
      <c r="F21" s="33">
        <v>155</v>
      </c>
      <c r="G21" s="33">
        <f t="shared" si="0"/>
        <v>1</v>
      </c>
      <c r="H21" s="38">
        <f t="shared" si="0"/>
        <v>0.96273291925465843</v>
      </c>
      <c r="I21" s="33">
        <f t="shared" si="1"/>
        <v>161</v>
      </c>
      <c r="J21" s="33">
        <f t="shared" si="2"/>
        <v>0</v>
      </c>
      <c r="K21" s="31" t="s">
        <v>109</v>
      </c>
      <c r="L21" s="31" t="s">
        <v>110</v>
      </c>
      <c r="M21" s="31" t="s">
        <v>111</v>
      </c>
    </row>
    <row r="22" spans="1:13" ht="18.5" thickBot="1">
      <c r="A22" s="71"/>
      <c r="B22" s="34" t="s">
        <v>103</v>
      </c>
      <c r="C22" s="32" t="s">
        <v>50</v>
      </c>
      <c r="D22" s="35">
        <v>12</v>
      </c>
      <c r="E22" s="33">
        <v>12</v>
      </c>
      <c r="F22" s="33">
        <v>12</v>
      </c>
      <c r="G22" s="33">
        <f t="shared" si="0"/>
        <v>1</v>
      </c>
      <c r="H22" s="33">
        <f t="shared" si="0"/>
        <v>1</v>
      </c>
      <c r="I22" s="33">
        <f t="shared" si="1"/>
        <v>12</v>
      </c>
      <c r="J22" s="33">
        <f t="shared" si="2"/>
        <v>0</v>
      </c>
      <c r="K22" s="31"/>
      <c r="L22" s="31"/>
      <c r="M22" s="31"/>
    </row>
    <row r="23" spans="1:13" ht="18.5" thickBot="1">
      <c r="A23" s="72"/>
      <c r="B23" s="34" t="s">
        <v>5</v>
      </c>
      <c r="C23" s="32" t="s">
        <v>104</v>
      </c>
      <c r="D23" s="35">
        <v>846</v>
      </c>
      <c r="E23" s="33">
        <v>846</v>
      </c>
      <c r="F23" s="33">
        <v>846</v>
      </c>
      <c r="G23" s="33">
        <f t="shared" si="0"/>
        <v>1</v>
      </c>
      <c r="H23" s="33">
        <f t="shared" si="0"/>
        <v>1</v>
      </c>
      <c r="I23" s="33">
        <f t="shared" si="1"/>
        <v>846</v>
      </c>
      <c r="J23" s="33">
        <f t="shared" si="2"/>
        <v>0</v>
      </c>
      <c r="K23" s="31"/>
      <c r="L23" s="31"/>
      <c r="M23" s="31"/>
    </row>
    <row r="24" spans="1:13" ht="36.5" thickBot="1">
      <c r="A24" s="70" t="s">
        <v>106</v>
      </c>
      <c r="B24" s="39" t="s">
        <v>94</v>
      </c>
      <c r="C24" s="32" t="s">
        <v>50</v>
      </c>
      <c r="D24" s="33">
        <v>3</v>
      </c>
      <c r="E24" s="33">
        <v>3</v>
      </c>
      <c r="F24" s="33">
        <v>3</v>
      </c>
      <c r="G24" s="33">
        <f t="shared" si="0"/>
        <v>1</v>
      </c>
      <c r="H24" s="33">
        <f t="shared" si="0"/>
        <v>1</v>
      </c>
      <c r="I24" s="33">
        <f t="shared" si="1"/>
        <v>3</v>
      </c>
      <c r="J24" s="33">
        <f t="shared" si="2"/>
        <v>0</v>
      </c>
      <c r="K24" s="31"/>
      <c r="L24" s="31"/>
      <c r="M24" s="31"/>
    </row>
    <row r="25" spans="1:13" ht="18.5" thickBot="1">
      <c r="A25" s="71"/>
      <c r="B25" s="39" t="s">
        <v>113</v>
      </c>
      <c r="C25" s="32" t="s">
        <v>50</v>
      </c>
      <c r="D25" s="33">
        <v>1</v>
      </c>
      <c r="E25" s="33">
        <v>1</v>
      </c>
      <c r="F25" s="33">
        <v>1</v>
      </c>
      <c r="G25" s="33">
        <f t="shared" si="0"/>
        <v>1</v>
      </c>
      <c r="H25" s="33">
        <f t="shared" si="0"/>
        <v>1</v>
      </c>
      <c r="I25" s="33">
        <f t="shared" si="1"/>
        <v>1</v>
      </c>
      <c r="J25" s="33">
        <f t="shared" si="2"/>
        <v>0</v>
      </c>
      <c r="K25" s="31"/>
      <c r="L25" s="31"/>
      <c r="M25" s="31"/>
    </row>
    <row r="26" spans="1:13" ht="18.5" thickBot="1">
      <c r="A26" s="71"/>
      <c r="B26" s="40" t="s">
        <v>97</v>
      </c>
      <c r="C26" s="32" t="s">
        <v>50</v>
      </c>
      <c r="D26" s="35">
        <v>2</v>
      </c>
      <c r="E26" s="33">
        <v>2</v>
      </c>
      <c r="F26" s="33">
        <v>2</v>
      </c>
      <c r="G26" s="33">
        <f t="shared" si="0"/>
        <v>1</v>
      </c>
      <c r="H26" s="33">
        <f t="shared" si="0"/>
        <v>1</v>
      </c>
      <c r="I26" s="33">
        <f t="shared" si="1"/>
        <v>2</v>
      </c>
      <c r="J26" s="33">
        <f t="shared" si="2"/>
        <v>0</v>
      </c>
      <c r="K26" s="31"/>
      <c r="L26" s="31"/>
      <c r="M26" s="31"/>
    </row>
    <row r="27" spans="1:13" ht="18.5" thickBot="1">
      <c r="A27" s="71"/>
      <c r="B27" s="40" t="s">
        <v>98</v>
      </c>
      <c r="C27" s="32" t="s">
        <v>50</v>
      </c>
      <c r="D27" s="35">
        <v>3</v>
      </c>
      <c r="E27" s="33">
        <v>3</v>
      </c>
      <c r="F27" s="33">
        <v>3</v>
      </c>
      <c r="G27" s="33">
        <f t="shared" si="0"/>
        <v>1</v>
      </c>
      <c r="H27" s="33">
        <f t="shared" si="0"/>
        <v>1</v>
      </c>
      <c r="I27" s="33">
        <f t="shared" si="1"/>
        <v>3</v>
      </c>
      <c r="J27" s="33">
        <f t="shared" si="2"/>
        <v>0</v>
      </c>
      <c r="K27" s="31"/>
      <c r="L27" s="31"/>
      <c r="M27" s="31"/>
    </row>
    <row r="28" spans="1:13" ht="18.5" thickBot="1">
      <c r="A28" s="71"/>
      <c r="B28" s="40" t="s">
        <v>99</v>
      </c>
      <c r="C28" s="32" t="s">
        <v>50</v>
      </c>
      <c r="D28" s="35">
        <v>18</v>
      </c>
      <c r="E28" s="33">
        <v>18</v>
      </c>
      <c r="F28" s="33">
        <v>18</v>
      </c>
      <c r="G28" s="33">
        <f t="shared" si="0"/>
        <v>1</v>
      </c>
      <c r="H28" s="33">
        <f t="shared" si="0"/>
        <v>1</v>
      </c>
      <c r="I28" s="33">
        <f t="shared" si="1"/>
        <v>18</v>
      </c>
      <c r="J28" s="33">
        <f t="shared" si="2"/>
        <v>0</v>
      </c>
      <c r="K28" s="31"/>
      <c r="L28" s="31"/>
      <c r="M28" s="31"/>
    </row>
    <row r="29" spans="1:13" ht="18.5" thickBot="1">
      <c r="A29" s="71"/>
      <c r="B29" s="40" t="s">
        <v>100</v>
      </c>
      <c r="C29" s="32" t="s">
        <v>50</v>
      </c>
      <c r="D29" s="35">
        <v>2</v>
      </c>
      <c r="E29" s="33">
        <v>2</v>
      </c>
      <c r="F29" s="33">
        <v>2</v>
      </c>
      <c r="G29" s="33">
        <f t="shared" si="0"/>
        <v>1</v>
      </c>
      <c r="H29" s="33">
        <f t="shared" si="0"/>
        <v>1</v>
      </c>
      <c r="I29" s="33">
        <f t="shared" si="1"/>
        <v>2</v>
      </c>
      <c r="J29" s="33">
        <f t="shared" si="2"/>
        <v>0</v>
      </c>
      <c r="K29" s="31"/>
      <c r="L29" s="31"/>
      <c r="M29" s="31"/>
    </row>
    <row r="30" spans="1:13" ht="18.5" thickBot="1">
      <c r="A30" s="71"/>
      <c r="B30" s="40" t="s">
        <v>101</v>
      </c>
      <c r="C30" s="32" t="s">
        <v>50</v>
      </c>
      <c r="D30" s="35">
        <v>9</v>
      </c>
      <c r="E30" s="33">
        <v>9</v>
      </c>
      <c r="F30" s="33">
        <v>9</v>
      </c>
      <c r="G30" s="33">
        <f t="shared" si="0"/>
        <v>1</v>
      </c>
      <c r="H30" s="33">
        <f t="shared" si="0"/>
        <v>1</v>
      </c>
      <c r="I30" s="33">
        <f t="shared" si="1"/>
        <v>9</v>
      </c>
      <c r="J30" s="33">
        <f t="shared" si="2"/>
        <v>0</v>
      </c>
      <c r="K30" s="31"/>
      <c r="L30" s="31"/>
      <c r="M30" s="31"/>
    </row>
    <row r="31" spans="1:13" ht="36.5" thickBot="1">
      <c r="A31" s="71"/>
      <c r="B31" s="40" t="s">
        <v>102</v>
      </c>
      <c r="C31" s="32" t="s">
        <v>50</v>
      </c>
      <c r="D31" s="35">
        <v>96</v>
      </c>
      <c r="E31" s="33">
        <v>96</v>
      </c>
      <c r="F31" s="33">
        <v>92</v>
      </c>
      <c r="G31" s="33">
        <f t="shared" si="0"/>
        <v>1</v>
      </c>
      <c r="H31" s="38">
        <f t="shared" si="0"/>
        <v>0.95833333333333337</v>
      </c>
      <c r="I31" s="33">
        <f t="shared" si="1"/>
        <v>96</v>
      </c>
      <c r="J31" s="33">
        <f t="shared" si="2"/>
        <v>0</v>
      </c>
      <c r="K31" s="31" t="s">
        <v>109</v>
      </c>
      <c r="L31" s="31" t="s">
        <v>110</v>
      </c>
      <c r="M31" s="31" t="s">
        <v>111</v>
      </c>
    </row>
    <row r="32" spans="1:13" ht="18.5" thickBot="1">
      <c r="A32" s="71"/>
      <c r="B32" s="40" t="s">
        <v>103</v>
      </c>
      <c r="C32" s="32" t="s">
        <v>50</v>
      </c>
      <c r="D32" s="35">
        <v>4</v>
      </c>
      <c r="E32" s="33">
        <v>4</v>
      </c>
      <c r="F32" s="33">
        <v>4</v>
      </c>
      <c r="G32" s="33">
        <f t="shared" si="0"/>
        <v>1</v>
      </c>
      <c r="H32" s="33">
        <f t="shared" si="0"/>
        <v>1</v>
      </c>
      <c r="I32" s="33">
        <f t="shared" si="1"/>
        <v>4</v>
      </c>
      <c r="J32" s="33">
        <f t="shared" si="2"/>
        <v>0</v>
      </c>
      <c r="K32" s="31"/>
      <c r="L32" s="31"/>
      <c r="M32" s="31"/>
    </row>
    <row r="33" spans="1:13" ht="18.5" thickBot="1">
      <c r="A33" s="72"/>
      <c r="B33" s="40" t="s">
        <v>5</v>
      </c>
      <c r="C33" s="32" t="s">
        <v>104</v>
      </c>
      <c r="D33" s="35">
        <v>514</v>
      </c>
      <c r="E33" s="33">
        <v>514</v>
      </c>
      <c r="F33" s="33">
        <v>514</v>
      </c>
      <c r="G33" s="33">
        <f t="shared" si="0"/>
        <v>1</v>
      </c>
      <c r="H33" s="33">
        <f t="shared" si="0"/>
        <v>1</v>
      </c>
      <c r="I33" s="33">
        <f t="shared" si="1"/>
        <v>514</v>
      </c>
      <c r="J33" s="33">
        <f t="shared" si="2"/>
        <v>0</v>
      </c>
      <c r="K33" s="31"/>
      <c r="L33" s="31"/>
      <c r="M33" s="31"/>
    </row>
    <row r="34" spans="1:13" ht="18.5" thickBot="1">
      <c r="A34" s="70" t="s">
        <v>107</v>
      </c>
      <c r="B34" s="31" t="s">
        <v>97</v>
      </c>
      <c r="C34" s="32" t="s">
        <v>50</v>
      </c>
      <c r="D34" s="33">
        <v>2</v>
      </c>
      <c r="E34" s="33">
        <v>2</v>
      </c>
      <c r="F34" s="33">
        <v>2</v>
      </c>
      <c r="G34" s="33">
        <f t="shared" si="0"/>
        <v>1</v>
      </c>
      <c r="H34" s="33">
        <f t="shared" si="0"/>
        <v>1</v>
      </c>
      <c r="I34" s="33">
        <f t="shared" si="1"/>
        <v>2</v>
      </c>
      <c r="J34" s="33">
        <f t="shared" si="2"/>
        <v>0</v>
      </c>
      <c r="K34" s="31"/>
      <c r="L34" s="31"/>
      <c r="M34" s="31"/>
    </row>
    <row r="35" spans="1:13" ht="18.5" thickBot="1">
      <c r="A35" s="71"/>
      <c r="B35" s="34" t="s">
        <v>99</v>
      </c>
      <c r="C35" s="32" t="s">
        <v>50</v>
      </c>
      <c r="D35" s="35">
        <v>18</v>
      </c>
      <c r="E35" s="33">
        <v>18</v>
      </c>
      <c r="F35" s="33">
        <v>18</v>
      </c>
      <c r="G35" s="33">
        <f t="shared" si="0"/>
        <v>1</v>
      </c>
      <c r="H35" s="33">
        <f t="shared" si="0"/>
        <v>1</v>
      </c>
      <c r="I35" s="33">
        <f t="shared" si="1"/>
        <v>18</v>
      </c>
      <c r="J35" s="33">
        <f t="shared" si="2"/>
        <v>0</v>
      </c>
      <c r="K35" s="31"/>
      <c r="L35" s="31"/>
      <c r="M35" s="31"/>
    </row>
    <row r="36" spans="1:13" ht="18.5" thickBot="1">
      <c r="A36" s="71"/>
      <c r="B36" s="34" t="s">
        <v>100</v>
      </c>
      <c r="C36" s="32" t="s">
        <v>50</v>
      </c>
      <c r="D36" s="35">
        <v>2</v>
      </c>
      <c r="E36" s="33">
        <v>2</v>
      </c>
      <c r="F36" s="33">
        <v>2</v>
      </c>
      <c r="G36" s="33">
        <f t="shared" si="0"/>
        <v>1</v>
      </c>
      <c r="H36" s="33">
        <f t="shared" si="0"/>
        <v>1</v>
      </c>
      <c r="I36" s="33">
        <f t="shared" si="1"/>
        <v>2</v>
      </c>
      <c r="J36" s="33">
        <f t="shared" si="2"/>
        <v>0</v>
      </c>
      <c r="K36" s="31"/>
      <c r="L36" s="31"/>
      <c r="M36" s="31"/>
    </row>
    <row r="37" spans="1:13" ht="18.5" thickBot="1">
      <c r="A37" s="71"/>
      <c r="B37" s="34" t="s">
        <v>101</v>
      </c>
      <c r="C37" s="32" t="s">
        <v>50</v>
      </c>
      <c r="D37" s="35">
        <v>9</v>
      </c>
      <c r="E37" s="33">
        <v>9</v>
      </c>
      <c r="F37" s="33">
        <v>9</v>
      </c>
      <c r="G37" s="33">
        <f t="shared" si="0"/>
        <v>1</v>
      </c>
      <c r="H37" s="33">
        <f t="shared" si="0"/>
        <v>1</v>
      </c>
      <c r="I37" s="33">
        <f t="shared" si="1"/>
        <v>9</v>
      </c>
      <c r="J37" s="33">
        <f t="shared" si="2"/>
        <v>0</v>
      </c>
      <c r="K37" s="31"/>
      <c r="L37" s="31"/>
      <c r="M37" s="31"/>
    </row>
    <row r="38" spans="1:13" ht="18.5" thickBot="1">
      <c r="A38" s="71"/>
      <c r="B38" s="34" t="s">
        <v>102</v>
      </c>
      <c r="C38" s="32" t="s">
        <v>50</v>
      </c>
      <c r="D38" s="35">
        <v>69</v>
      </c>
      <c r="E38" s="33">
        <v>69</v>
      </c>
      <c r="F38" s="33">
        <v>67</v>
      </c>
      <c r="G38" s="33">
        <f t="shared" si="0"/>
        <v>1</v>
      </c>
      <c r="H38" s="38">
        <f t="shared" si="0"/>
        <v>0.97101449275362317</v>
      </c>
      <c r="I38" s="33">
        <f t="shared" si="1"/>
        <v>69</v>
      </c>
      <c r="J38" s="33">
        <f t="shared" si="2"/>
        <v>0</v>
      </c>
      <c r="K38" s="31"/>
      <c r="L38" s="31"/>
      <c r="M38" s="31"/>
    </row>
    <row r="39" spans="1:13" ht="18.5" thickBot="1">
      <c r="A39" s="71"/>
      <c r="B39" s="34" t="s">
        <v>103</v>
      </c>
      <c r="C39" s="32" t="s">
        <v>50</v>
      </c>
      <c r="D39" s="35">
        <v>4</v>
      </c>
      <c r="E39" s="33">
        <v>4</v>
      </c>
      <c r="F39" s="33">
        <v>4</v>
      </c>
      <c r="G39" s="33">
        <f t="shared" si="0"/>
        <v>1</v>
      </c>
      <c r="H39" s="33">
        <f t="shared" si="0"/>
        <v>1</v>
      </c>
      <c r="I39" s="33">
        <f t="shared" si="1"/>
        <v>4</v>
      </c>
      <c r="J39" s="33">
        <f t="shared" si="2"/>
        <v>0</v>
      </c>
      <c r="K39" s="31"/>
      <c r="L39" s="31"/>
      <c r="M39" s="31"/>
    </row>
    <row r="40" spans="1:13" ht="18.5" thickBot="1">
      <c r="A40" s="72"/>
      <c r="B40" s="34" t="s">
        <v>5</v>
      </c>
      <c r="C40" s="32" t="s">
        <v>104</v>
      </c>
      <c r="D40" s="35">
        <v>350</v>
      </c>
      <c r="E40" s="33">
        <v>350</v>
      </c>
      <c r="F40" s="33">
        <v>350</v>
      </c>
      <c r="G40" s="33">
        <f t="shared" si="0"/>
        <v>1</v>
      </c>
      <c r="H40" s="33">
        <f t="shared" si="0"/>
        <v>1</v>
      </c>
      <c r="I40" s="33">
        <f t="shared" si="1"/>
        <v>350</v>
      </c>
      <c r="J40" s="33">
        <f t="shared" si="2"/>
        <v>0</v>
      </c>
      <c r="K40" s="31"/>
      <c r="L40" s="31"/>
      <c r="M40" s="31"/>
    </row>
    <row r="41" spans="1:13" ht="36.5" thickBot="1">
      <c r="A41" s="70" t="s">
        <v>108</v>
      </c>
      <c r="B41" s="31" t="s">
        <v>94</v>
      </c>
      <c r="C41" s="32" t="s">
        <v>50</v>
      </c>
      <c r="D41" s="33">
        <v>3</v>
      </c>
      <c r="E41" s="33">
        <v>3</v>
      </c>
      <c r="F41" s="33">
        <v>3</v>
      </c>
      <c r="G41" s="33">
        <f t="shared" si="0"/>
        <v>1</v>
      </c>
      <c r="H41" s="33">
        <f t="shared" si="0"/>
        <v>1</v>
      </c>
      <c r="I41" s="33">
        <f t="shared" si="1"/>
        <v>3</v>
      </c>
      <c r="J41" s="33">
        <f t="shared" si="2"/>
        <v>0</v>
      </c>
      <c r="K41" s="31"/>
      <c r="L41" s="31"/>
      <c r="M41" s="31" t="s">
        <v>112</v>
      </c>
    </row>
    <row r="42" spans="1:13" ht="18.5" thickBot="1">
      <c r="A42" s="71"/>
      <c r="B42" s="34" t="s">
        <v>114</v>
      </c>
      <c r="C42" s="32" t="s">
        <v>50</v>
      </c>
      <c r="D42" s="35">
        <v>4</v>
      </c>
      <c r="E42" s="33">
        <v>4</v>
      </c>
      <c r="F42" s="33">
        <v>4</v>
      </c>
      <c r="G42" s="33">
        <f t="shared" si="0"/>
        <v>1</v>
      </c>
      <c r="H42" s="33">
        <f t="shared" si="0"/>
        <v>1</v>
      </c>
      <c r="I42" s="33">
        <f t="shared" si="1"/>
        <v>4</v>
      </c>
      <c r="J42" s="33">
        <f t="shared" si="2"/>
        <v>0</v>
      </c>
      <c r="K42" s="31"/>
      <c r="L42" s="31"/>
      <c r="M42" s="31"/>
    </row>
    <row r="43" spans="1:13" ht="18.5" thickBot="1">
      <c r="A43" s="71"/>
      <c r="B43" s="34" t="s">
        <v>98</v>
      </c>
      <c r="C43" s="32" t="s">
        <v>50</v>
      </c>
      <c r="D43" s="35">
        <v>3</v>
      </c>
      <c r="E43" s="33">
        <v>3</v>
      </c>
      <c r="F43" s="33">
        <v>3</v>
      </c>
      <c r="G43" s="33">
        <f t="shared" si="0"/>
        <v>1</v>
      </c>
      <c r="H43" s="33">
        <f t="shared" si="0"/>
        <v>1</v>
      </c>
      <c r="I43" s="33">
        <f t="shared" si="1"/>
        <v>3</v>
      </c>
      <c r="J43" s="33">
        <f t="shared" si="2"/>
        <v>0</v>
      </c>
      <c r="K43" s="31"/>
      <c r="L43" s="31"/>
      <c r="M43" s="31"/>
    </row>
    <row r="44" spans="1:13" ht="18.5" thickBot="1">
      <c r="A44" s="71"/>
      <c r="B44" s="34" t="s">
        <v>99</v>
      </c>
      <c r="C44" s="32" t="s">
        <v>50</v>
      </c>
      <c r="D44" s="35">
        <v>6</v>
      </c>
      <c r="E44" s="33">
        <v>6</v>
      </c>
      <c r="F44" s="33">
        <v>6</v>
      </c>
      <c r="G44" s="33">
        <f t="shared" si="0"/>
        <v>1</v>
      </c>
      <c r="H44" s="33">
        <f t="shared" si="0"/>
        <v>1</v>
      </c>
      <c r="I44" s="33">
        <f t="shared" si="1"/>
        <v>6</v>
      </c>
      <c r="J44" s="33">
        <f t="shared" si="2"/>
        <v>0</v>
      </c>
      <c r="K44" s="31"/>
      <c r="L44" s="31"/>
      <c r="M44" s="31"/>
    </row>
    <row r="45" spans="1:13" ht="18.5" thickBot="1">
      <c r="A45" s="71"/>
      <c r="B45" s="34" t="s">
        <v>102</v>
      </c>
      <c r="C45" s="32" t="s">
        <v>50</v>
      </c>
      <c r="D45" s="35">
        <v>160</v>
      </c>
      <c r="E45" s="33">
        <v>160</v>
      </c>
      <c r="F45" s="33">
        <v>160</v>
      </c>
      <c r="G45" s="33">
        <f t="shared" si="0"/>
        <v>1</v>
      </c>
      <c r="H45" s="33">
        <f t="shared" si="0"/>
        <v>1</v>
      </c>
      <c r="I45" s="33">
        <f t="shared" si="1"/>
        <v>160</v>
      </c>
      <c r="J45" s="33">
        <f t="shared" si="2"/>
        <v>0</v>
      </c>
      <c r="K45" s="31"/>
      <c r="L45" s="31"/>
      <c r="M45" s="31"/>
    </row>
    <row r="46" spans="1:13" ht="18.5" thickBot="1">
      <c r="A46" s="71"/>
      <c r="B46" s="34" t="s">
        <v>103</v>
      </c>
      <c r="C46" s="32" t="s">
        <v>50</v>
      </c>
      <c r="D46" s="35">
        <v>22</v>
      </c>
      <c r="E46" s="33">
        <v>22</v>
      </c>
      <c r="F46" s="33">
        <v>22</v>
      </c>
      <c r="G46" s="33">
        <f t="shared" si="0"/>
        <v>1</v>
      </c>
      <c r="H46" s="33">
        <f t="shared" si="0"/>
        <v>1</v>
      </c>
      <c r="I46" s="33">
        <f t="shared" si="1"/>
        <v>22</v>
      </c>
      <c r="J46" s="33">
        <f t="shared" si="2"/>
        <v>0</v>
      </c>
      <c r="K46" s="31"/>
      <c r="L46" s="31"/>
      <c r="M46" s="31"/>
    </row>
    <row r="47" spans="1:13" ht="18.5" thickBot="1">
      <c r="A47" s="72"/>
      <c r="B47" s="34" t="s">
        <v>5</v>
      </c>
      <c r="C47" s="32" t="s">
        <v>104</v>
      </c>
      <c r="D47" s="35">
        <v>693</v>
      </c>
      <c r="E47" s="33">
        <v>693</v>
      </c>
      <c r="F47" s="33">
        <v>693</v>
      </c>
      <c r="G47" s="33">
        <f t="shared" si="0"/>
        <v>1</v>
      </c>
      <c r="H47" s="33">
        <f t="shared" si="0"/>
        <v>1</v>
      </c>
      <c r="I47" s="33">
        <f t="shared" si="1"/>
        <v>693</v>
      </c>
      <c r="J47" s="33">
        <f t="shared" si="2"/>
        <v>0</v>
      </c>
      <c r="K47" s="31"/>
      <c r="L47" s="31"/>
      <c r="M47" s="31"/>
    </row>
  </sheetData>
  <mergeCells count="12">
    <mergeCell ref="A14:A23"/>
    <mergeCell ref="A24:A33"/>
    <mergeCell ref="A34:A40"/>
    <mergeCell ref="A41:A47"/>
    <mergeCell ref="C1:C2"/>
    <mergeCell ref="J1:M1"/>
    <mergeCell ref="A3:A13"/>
    <mergeCell ref="E1:H1"/>
    <mergeCell ref="I1:I2"/>
    <mergeCell ref="D1:D2"/>
    <mergeCell ref="A1:A2"/>
    <mergeCell ref="B1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Vũ Thế Nguyên</cp:lastModifiedBy>
  <dcterms:created xsi:type="dcterms:W3CDTF">2025-12-02T15:26:56Z</dcterms:created>
  <dcterms:modified xsi:type="dcterms:W3CDTF">2026-03-05T16:53:11Z</dcterms:modified>
</cp:coreProperties>
</file>