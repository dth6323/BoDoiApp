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74659D99-1B8D-49EA-8BDE-700D4EB0781C}" xr6:coauthVersionLast="47" xr6:coauthVersionMax="47" xr10:uidLastSave="{00000000-0000-0000-0000-000000000000}"/>
  <bookViews>
    <workbookView xWindow="-110" yWindow="-110" windowWidth="19420" windowHeight="10300" activeTab="7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" i="8" l="1"/>
  <c r="I47" i="8"/>
  <c r="H47" i="8"/>
  <c r="G47" i="8"/>
  <c r="J46" i="8"/>
  <c r="I46" i="8"/>
  <c r="H46" i="8"/>
  <c r="G46" i="8"/>
  <c r="J45" i="8"/>
  <c r="I45" i="8"/>
  <c r="H45" i="8"/>
  <c r="G45" i="8"/>
  <c r="J44" i="8"/>
  <c r="I44" i="8"/>
  <c r="H44" i="8"/>
  <c r="G44" i="8"/>
  <c r="J43" i="8"/>
  <c r="I43" i="8"/>
  <c r="H43" i="8"/>
  <c r="G43" i="8"/>
  <c r="J42" i="8"/>
  <c r="I42" i="8"/>
  <c r="H42" i="8"/>
  <c r="G42" i="8"/>
  <c r="J41" i="8"/>
  <c r="I41" i="8"/>
  <c r="H41" i="8"/>
  <c r="G41" i="8"/>
  <c r="J40" i="8"/>
  <c r="I40" i="8"/>
  <c r="H40" i="8"/>
  <c r="G40" i="8"/>
  <c r="J39" i="8"/>
  <c r="I39" i="8"/>
  <c r="H39" i="8"/>
  <c r="G39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<sst xmlns="http://schemas.openxmlformats.org/spreadsheetml/2006/main" count="277" uniqueCount="115">
  <si>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</si>
  <si>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</si>
  <si>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</si>
  <si>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</si>
  <si>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</si>
  <si>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</si>
  <si>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</si>
  <si>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</si>
  <si>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</si>
  <si>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</si>
  <si>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</si>
  <si>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</si>
  <si>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</si>
  <si>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</si>
  <si>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</si>
  <si>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</si>
  <si>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</si>
  <si>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</si>
  <si>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</si>
  <si>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</si>
  <si>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</si>
  <si>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</si>
  <si>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</si>
  <si>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</si>
  <si>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</si>
  <si>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</si>
  <si>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</si>
  <si>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</si>
  <si>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</si>
  <si>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</si>
  <si>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</si>
  <si>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</si>
  <si>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</si>
  <si>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</si>
  <si>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</si>
  <si>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</si>
  <si>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</si>
  <si>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</si>
  <si>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</si>
  <si>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</si>
  <si>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</si>
  <si>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</si>
  <si>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</si>
  <si>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</si>
  <si>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</si>
  <si>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</si>
  <si>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</si>
  <si>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</si>
  <si>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</si>
  <si>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</si>
  <si>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</si>
  <si>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</si>
  <si>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</si>
  <si>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</si>
  <si>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</si>
  <si>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</si>
  <si>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</si>
  <si>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</si>
  <si>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</si>
  <si>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</si>
  <si>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</si>
  <si>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</si>
  <si>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</si>
  <si>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</si>
  <si>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</si>
  <si>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</si>
  <si>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</si>
  <si>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</si>
  <si>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</si>
  <si>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</si>
  <si>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</si>
  <si>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</si>
  <si>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</si>
  <si>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</si>
  <si>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</si>
  <si>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</si>
  <si>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</si>
  <si>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</si>
  <si>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</si>
  <si>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</si>
  <si>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</si>
  <si>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</si>
  <si>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</si>
  <si>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</si>
  <si>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</si>
  <si>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</si>
  <si>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</si>
  <si>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</si>
  <si>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</si>
  <si>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</si>
  <si>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</si>
  <si>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</si>
  <si>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</si>
  <si>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</si>
  <si>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</si>
  <si>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</si>
  <si>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</si>
  <si>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</si>
  <si>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</si>
  <si>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</si>
  <si>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</si>
  <si>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</si>
  <si>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</si>
  <si>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</si>
  <si>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</si>
  <si>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</si>
  <si>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</si>
  <si>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</si>
  <si>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</si>
  <si>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</si>
  <si>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</si>
  <si>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</si>
  <si>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</si>
  <si>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Cối 82mm</t>
  </si>
  <si>
    <t>Cối 100mm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</si>
</sst>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2" fontId="18" fillId="8" borderId="18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justify" vertical="center" wrapText="1"/>
    </xf>
    <xf numFmtId="0" fontId="18" fillId="0" borderId="18" xfId="0" applyFont="1" applyBorder="1" applyAlignment="1">
      <alignment horizontal="justify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M6" sqref="M6"/>
    </sheetView>
  </sheetViews>
  <sheetFormatPr defaultRowHeight="14.5"/>
  <sheetData>
    <row r="1" spans="1:13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 ht="14" customHeight="1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38" t="s">
        <v>27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I1" sqref="I1:I1048576"/>
    </sheetView>
  </sheetViews>
  <sheetFormatPr defaultRowHeight="14.5"/>
  <sheetData>
    <row r="1" spans="1:9">
      <c r="A1" s="47" t="s">
        <v>40</v>
      </c>
      <c r="B1" s="47" t="s">
        <v>41</v>
      </c>
      <c r="C1" s="47" t="s">
        <v>42</v>
      </c>
      <c r="D1" s="49" t="s">
        <v>43</v>
      </c>
      <c r="E1" s="50"/>
      <c r="F1" s="50"/>
      <c r="G1" s="51"/>
      <c r="H1" s="45" t="s">
        <v>44</v>
      </c>
      <c r="I1" s="45" t="s">
        <v>45</v>
      </c>
    </row>
    <row r="2" spans="1:9">
      <c r="A2" s="48"/>
      <c r="B2" s="48"/>
      <c r="C2" s="48"/>
      <c r="D2" s="22" t="s">
        <v>46</v>
      </c>
      <c r="E2" s="22" t="s">
        <v>47</v>
      </c>
      <c r="F2" s="22" t="s">
        <v>48</v>
      </c>
      <c r="G2" s="22" t="s">
        <v>49</v>
      </c>
      <c r="H2" s="46"/>
      <c r="I2" s="46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P4" sqref="P4"/>
    </sheetView>
  </sheetViews>
  <sheetFormatPr defaultRowHeight="14.5"/>
  <sheetData>
    <row r="1" spans="1:9">
      <c r="A1" s="52" t="s">
        <v>63</v>
      </c>
      <c r="B1" s="54" t="s">
        <v>54</v>
      </c>
      <c r="C1" s="54" t="s">
        <v>41</v>
      </c>
      <c r="D1" s="56" t="s">
        <v>44</v>
      </c>
      <c r="E1" s="57"/>
      <c r="F1" s="58"/>
      <c r="G1" s="59" t="s">
        <v>64</v>
      </c>
      <c r="H1" s="60"/>
      <c r="I1" s="61"/>
    </row>
    <row r="2" spans="1:9">
      <c r="A2" s="53"/>
      <c r="B2" s="55"/>
      <c r="C2" s="55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38" t="s">
        <v>27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4"/>
  <sheetViews>
    <sheetView workbookViewId="0">
      <selection activeCell="F2" sqref="F2:F4"/>
    </sheetView>
  </sheetViews>
  <sheetFormatPr defaultRowHeight="14.5"/>
  <sheetData>
    <row r="1" spans="1:13">
      <c r="A1" s="62" t="s">
        <v>63</v>
      </c>
      <c r="B1" s="62" t="s">
        <v>67</v>
      </c>
      <c r="C1" s="62" t="s">
        <v>68</v>
      </c>
      <c r="D1" s="62"/>
      <c r="E1" s="62"/>
      <c r="F1" s="62"/>
      <c r="G1" s="62" t="s">
        <v>69</v>
      </c>
      <c r="H1" s="62"/>
      <c r="I1" s="62"/>
      <c r="J1" s="62" t="s">
        <v>70</v>
      </c>
      <c r="K1" s="62"/>
      <c r="L1" s="62"/>
      <c r="M1" s="62"/>
    </row>
    <row r="2" spans="1:13">
      <c r="A2" s="62"/>
      <c r="B2" s="62"/>
      <c r="C2" s="62" t="s">
        <v>71</v>
      </c>
      <c r="D2" s="62" t="s">
        <v>72</v>
      </c>
      <c r="E2" s="62" t="s">
        <v>73</v>
      </c>
      <c r="F2" s="62" t="s">
        <v>46</v>
      </c>
      <c r="G2" s="62" t="s">
        <v>74</v>
      </c>
      <c r="H2" s="62" t="s">
        <v>75</v>
      </c>
      <c r="I2" s="62" t="s">
        <v>76</v>
      </c>
      <c r="J2" s="62" t="s">
        <v>77</v>
      </c>
      <c r="K2" s="62"/>
      <c r="L2" s="63" t="s">
        <v>78</v>
      </c>
      <c r="M2" s="63"/>
    </row>
    <row r="3" spans="1:13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3"/>
      <c r="M3" s="63"/>
    </row>
    <row r="4" spans="1:13">
      <c r="A4" s="62"/>
      <c r="B4" s="62"/>
      <c r="C4" s="62"/>
      <c r="D4" s="62"/>
      <c r="E4" s="62"/>
      <c r="F4" s="62"/>
      <c r="G4" s="62"/>
      <c r="H4" s="62"/>
      <c r="I4" s="62"/>
      <c r="J4" s="29" t="s">
        <v>79</v>
      </c>
      <c r="K4" s="29" t="s">
        <v>80</v>
      </c>
      <c r="L4" s="29" t="s">
        <v>79</v>
      </c>
      <c r="M4" s="29" t="s">
        <v>80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47"/>
  <sheetViews>
    <sheetView tabSelected="1" zoomScale="85" zoomScaleNormal="85" workbookViewId="0">
      <selection activeCell="D3" sqref="D3"/>
    </sheetView>
  </sheetViews>
  <sheetFormatPr defaultRowHeight="14.5"/>
  <cols>
    <col min="2" max="2" width="16.6328125" customWidth="1"/>
    <col min="3" max="3" width="9.453125" customWidth="1"/>
  </cols>
  <sheetData>
    <row r="1" spans="1:13" ht="15.5" thickBot="1">
      <c r="A1" s="66" t="s">
        <v>66</v>
      </c>
      <c r="B1" s="66" t="s">
        <v>81</v>
      </c>
      <c r="C1" s="66" t="s">
        <v>82</v>
      </c>
      <c r="D1" s="66" t="s">
        <v>83</v>
      </c>
      <c r="E1" s="69" t="s">
        <v>43</v>
      </c>
      <c r="F1" s="70"/>
      <c r="G1" s="70"/>
      <c r="H1" s="71"/>
      <c r="I1" s="66" t="s">
        <v>84</v>
      </c>
      <c r="J1" s="69" t="s">
        <v>85</v>
      </c>
      <c r="K1" s="70"/>
      <c r="L1" s="70"/>
      <c r="M1" s="71"/>
    </row>
    <row r="2" spans="1:13" ht="30.5" thickBot="1">
      <c r="A2" s="67"/>
      <c r="B2" s="67"/>
      <c r="C2" s="67"/>
      <c r="D2" s="67"/>
      <c r="E2" s="30" t="s">
        <v>86</v>
      </c>
      <c r="F2" s="30" t="s">
        <v>49</v>
      </c>
      <c r="G2" s="30" t="s">
        <v>87</v>
      </c>
      <c r="H2" s="30" t="s">
        <v>88</v>
      </c>
      <c r="I2" s="67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54.5" thickBot="1">
      <c r="A3" s="64" t="s">
        <v>93</v>
      </c>
      <c r="B3" s="31" t="s">
        <v>94</v>
      </c>
      <c r="C3" s="32" t="s">
        <v>50</v>
      </c>
      <c r="D3" s="33">
        <v>9</v>
      </c>
      <c r="E3" s="33">
        <v>9</v>
      </c>
      <c r="F3" s="33">
        <v>9</v>
      </c>
      <c r="G3" s="33">
        <f>E3/D3</f>
        <v>1</v>
      </c>
      <c r="H3" s="33">
        <f>F3/E3</f>
        <v>1</v>
      </c>
      <c r="I3" s="33">
        <f>D3</f>
        <v>9</v>
      </c>
      <c r="J3" s="33">
        <f>D3-E3</f>
        <v>0</v>
      </c>
      <c r="K3" s="31"/>
      <c r="L3" s="31"/>
      <c r="M3" s="31"/>
    </row>
    <row r="4" spans="1:13" ht="18.5" thickBot="1">
      <c r="A4" s="65"/>
      <c r="B4" s="34" t="s">
        <v>95</v>
      </c>
      <c r="C4" s="32" t="s">
        <v>50</v>
      </c>
      <c r="D4" s="35">
        <v>4</v>
      </c>
      <c r="E4" s="33">
        <v>4</v>
      </c>
      <c r="F4" s="33">
        <v>4</v>
      </c>
      <c r="G4" s="33">
        <f t="shared" ref="G4:H47" si="0">E4/D4</f>
        <v>1</v>
      </c>
      <c r="H4" s="33">
        <f t="shared" si="0"/>
        <v>1</v>
      </c>
      <c r="I4" s="33">
        <f t="shared" ref="I4:I47" si="1">D4</f>
        <v>4</v>
      </c>
      <c r="J4" s="33">
        <f t="shared" ref="J4:J47" si="2">D4-E4</f>
        <v>0</v>
      </c>
      <c r="K4" s="31"/>
      <c r="L4" s="31"/>
      <c r="M4" s="31"/>
    </row>
    <row r="5" spans="1:13" ht="18.5" thickBot="1">
      <c r="A5" s="65"/>
      <c r="B5" s="34" t="s">
        <v>96</v>
      </c>
      <c r="C5" s="32" t="s">
        <v>50</v>
      </c>
      <c r="D5" s="35">
        <v>4</v>
      </c>
      <c r="E5" s="33">
        <v>4</v>
      </c>
      <c r="F5" s="33">
        <v>4</v>
      </c>
      <c r="G5" s="33">
        <f t="shared" si="0"/>
        <v>1</v>
      </c>
      <c r="H5" s="33">
        <f t="shared" si="0"/>
        <v>1</v>
      </c>
      <c r="I5" s="33">
        <f t="shared" si="1"/>
        <v>4</v>
      </c>
      <c r="J5" s="33">
        <f>D5-E5</f>
        <v>0</v>
      </c>
      <c r="K5" s="31"/>
      <c r="L5" s="31"/>
      <c r="M5" s="31"/>
    </row>
    <row r="6" spans="1:13" ht="18.5" thickBot="1">
      <c r="A6" s="65"/>
      <c r="B6" s="34" t="s">
        <v>97</v>
      </c>
      <c r="C6" s="32" t="s">
        <v>50</v>
      </c>
      <c r="D6" s="35">
        <v>8</v>
      </c>
      <c r="E6" s="33">
        <v>8</v>
      </c>
      <c r="F6" s="33">
        <v>8</v>
      </c>
      <c r="G6" s="33">
        <f t="shared" si="0"/>
        <v>1</v>
      </c>
      <c r="H6" s="33">
        <f t="shared" si="0"/>
        <v>1</v>
      </c>
      <c r="I6" s="33">
        <f t="shared" si="1"/>
        <v>8</v>
      </c>
      <c r="J6" s="33">
        <f t="shared" si="2"/>
        <v>0</v>
      </c>
      <c r="K6" s="31"/>
      <c r="L6" s="31"/>
      <c r="M6" s="31"/>
    </row>
    <row r="7" spans="1:13" ht="18.5" thickBot="1">
      <c r="A7" s="65"/>
      <c r="B7" s="34" t="s">
        <v>98</v>
      </c>
      <c r="C7" s="32" t="s">
        <v>50</v>
      </c>
      <c r="D7" s="35">
        <v>9</v>
      </c>
      <c r="E7" s="33">
        <v>9</v>
      </c>
      <c r="F7" s="33">
        <v>9</v>
      </c>
      <c r="G7" s="33">
        <f t="shared" si="0"/>
        <v>1</v>
      </c>
      <c r="H7" s="33">
        <f t="shared" si="0"/>
        <v>1</v>
      </c>
      <c r="I7" s="33">
        <f t="shared" si="1"/>
        <v>9</v>
      </c>
      <c r="J7" s="33">
        <f t="shared" si="2"/>
        <v>0</v>
      </c>
      <c r="K7" s="31"/>
      <c r="L7" s="31"/>
      <c r="M7" s="31"/>
    </row>
    <row r="8" spans="1:13" ht="36.5" thickBot="1">
      <c r="A8" s="65"/>
      <c r="B8" s="34" t="s">
        <v>99</v>
      </c>
      <c r="C8" s="32" t="s">
        <v>50</v>
      </c>
      <c r="D8" s="35">
        <v>72</v>
      </c>
      <c r="E8" s="33">
        <v>72</v>
      </c>
      <c r="F8" s="33">
        <v>71</v>
      </c>
      <c r="G8" s="33">
        <f t="shared" si="0"/>
        <v>1</v>
      </c>
      <c r="H8" s="72">
        <f t="shared" si="0"/>
        <v>0.98611111111111116</v>
      </c>
      <c r="I8" s="33">
        <f t="shared" si="1"/>
        <v>72</v>
      </c>
      <c r="J8" s="33">
        <f t="shared" si="2"/>
        <v>0</v>
      </c>
      <c r="K8" s="31" t="s">
        <v>109</v>
      </c>
      <c r="L8" s="31" t="s">
        <v>110</v>
      </c>
      <c r="M8" s="31" t="s">
        <v>111</v>
      </c>
    </row>
    <row r="9" spans="1:13" ht="18.5" thickBot="1">
      <c r="A9" s="65"/>
      <c r="B9" s="34" t="s">
        <v>100</v>
      </c>
      <c r="C9" s="32" t="s">
        <v>50</v>
      </c>
      <c r="D9" s="35">
        <v>8</v>
      </c>
      <c r="E9" s="33">
        <v>8</v>
      </c>
      <c r="F9" s="33">
        <v>8</v>
      </c>
      <c r="G9" s="33">
        <f t="shared" si="0"/>
        <v>1</v>
      </c>
      <c r="H9" s="33">
        <f t="shared" si="0"/>
        <v>1</v>
      </c>
      <c r="I9" s="33">
        <f t="shared" si="1"/>
        <v>8</v>
      </c>
      <c r="J9" s="33">
        <f t="shared" si="2"/>
        <v>0</v>
      </c>
      <c r="K9" s="31"/>
      <c r="L9" s="31"/>
      <c r="M9" s="31"/>
    </row>
    <row r="10" spans="1:13" ht="18.5" thickBot="1">
      <c r="A10" s="65"/>
      <c r="B10" s="34" t="s">
        <v>101</v>
      </c>
      <c r="C10" s="32" t="s">
        <v>50</v>
      </c>
      <c r="D10" s="35">
        <v>36</v>
      </c>
      <c r="E10" s="33">
        <v>36</v>
      </c>
      <c r="F10" s="33">
        <v>36</v>
      </c>
      <c r="G10" s="33">
        <f t="shared" si="0"/>
        <v>1</v>
      </c>
      <c r="H10" s="33">
        <f t="shared" si="0"/>
        <v>1</v>
      </c>
      <c r="I10" s="33">
        <f t="shared" si="1"/>
        <v>36</v>
      </c>
      <c r="J10" s="33">
        <f t="shared" si="2"/>
        <v>0</v>
      </c>
      <c r="K10" s="31"/>
      <c r="L10" s="31"/>
      <c r="M10" s="31"/>
    </row>
    <row r="11" spans="1:13" ht="36.5" thickBot="1">
      <c r="A11" s="65"/>
      <c r="B11" s="34" t="s">
        <v>102</v>
      </c>
      <c r="C11" s="32" t="s">
        <v>50</v>
      </c>
      <c r="D11" s="35">
        <v>486</v>
      </c>
      <c r="E11" s="33">
        <v>486</v>
      </c>
      <c r="F11" s="33">
        <v>474</v>
      </c>
      <c r="G11" s="33">
        <f t="shared" si="0"/>
        <v>1</v>
      </c>
      <c r="H11" s="72">
        <f t="shared" si="0"/>
        <v>0.97530864197530864</v>
      </c>
      <c r="I11" s="33">
        <f t="shared" si="1"/>
        <v>486</v>
      </c>
      <c r="J11" s="33">
        <f t="shared" si="2"/>
        <v>0</v>
      </c>
      <c r="K11" s="31" t="s">
        <v>109</v>
      </c>
      <c r="L11" s="31" t="s">
        <v>110</v>
      </c>
      <c r="M11" s="31" t="s">
        <v>111</v>
      </c>
    </row>
    <row r="12" spans="1:13" ht="18.5" thickBot="1">
      <c r="A12" s="65"/>
      <c r="B12" s="34" t="s">
        <v>103</v>
      </c>
      <c r="C12" s="32" t="s">
        <v>50</v>
      </c>
      <c r="D12" s="35">
        <v>42</v>
      </c>
      <c r="E12" s="33">
        <v>42</v>
      </c>
      <c r="F12" s="33">
        <v>42</v>
      </c>
      <c r="G12" s="33">
        <f t="shared" si="0"/>
        <v>1</v>
      </c>
      <c r="H12" s="33">
        <f t="shared" si="0"/>
        <v>1</v>
      </c>
      <c r="I12" s="33">
        <f t="shared" si="1"/>
        <v>42</v>
      </c>
      <c r="J12" s="33">
        <f t="shared" si="2"/>
        <v>0</v>
      </c>
      <c r="K12" s="31"/>
      <c r="L12" s="31"/>
      <c r="M12" s="31"/>
    </row>
    <row r="13" spans="1:13" ht="18.5" thickBot="1">
      <c r="A13" s="68"/>
      <c r="B13" s="34" t="s">
        <v>5</v>
      </c>
      <c r="C13" s="32" t="s">
        <v>104</v>
      </c>
      <c r="D13" s="37">
        <v>2403</v>
      </c>
      <c r="E13" s="36">
        <v>2403</v>
      </c>
      <c r="F13" s="36">
        <v>2403</v>
      </c>
      <c r="G13" s="33">
        <f t="shared" si="0"/>
        <v>1</v>
      </c>
      <c r="H13" s="33">
        <f t="shared" si="0"/>
        <v>1</v>
      </c>
      <c r="I13" s="33">
        <f t="shared" si="1"/>
        <v>2403</v>
      </c>
      <c r="J13" s="33">
        <f t="shared" si="2"/>
        <v>0</v>
      </c>
      <c r="K13" s="31"/>
      <c r="L13" s="31"/>
      <c r="M13" s="31"/>
    </row>
    <row r="14" spans="1:13" ht="54.5" thickBot="1">
      <c r="A14" s="64" t="s">
        <v>105</v>
      </c>
      <c r="B14" s="31" t="s">
        <v>94</v>
      </c>
      <c r="C14" s="32" t="s">
        <v>50</v>
      </c>
      <c r="D14" s="33">
        <v>3</v>
      </c>
      <c r="E14" s="33">
        <v>3</v>
      </c>
      <c r="F14" s="33">
        <v>3</v>
      </c>
      <c r="G14" s="33">
        <f t="shared" si="0"/>
        <v>1</v>
      </c>
      <c r="H14" s="33">
        <f t="shared" si="0"/>
        <v>1</v>
      </c>
      <c r="I14" s="33">
        <f t="shared" si="1"/>
        <v>3</v>
      </c>
      <c r="J14" s="33">
        <f t="shared" si="2"/>
        <v>0</v>
      </c>
      <c r="K14" s="31"/>
      <c r="L14" s="31"/>
      <c r="M14" s="31"/>
    </row>
    <row r="15" spans="1:13" ht="18.5" thickBot="1">
      <c r="A15" s="65"/>
      <c r="B15" s="34" t="s">
        <v>113</v>
      </c>
      <c r="C15" s="32" t="s">
        <v>50</v>
      </c>
      <c r="D15" s="35">
        <v>3</v>
      </c>
      <c r="E15" s="33">
        <v>3</v>
      </c>
      <c r="F15" s="33">
        <v>3</v>
      </c>
      <c r="G15" s="33">
        <f t="shared" si="0"/>
        <v>1</v>
      </c>
      <c r="H15" s="33">
        <f t="shared" si="0"/>
        <v>1</v>
      </c>
      <c r="I15" s="33">
        <f t="shared" si="1"/>
        <v>3</v>
      </c>
      <c r="J15" s="33">
        <f t="shared" si="2"/>
        <v>0</v>
      </c>
      <c r="K15" s="31"/>
      <c r="L15" s="31"/>
      <c r="M15" s="31"/>
    </row>
    <row r="16" spans="1:13" ht="18.5" thickBot="1">
      <c r="A16" s="65"/>
      <c r="B16" s="34" t="s">
        <v>97</v>
      </c>
      <c r="C16" s="32" t="s">
        <v>50</v>
      </c>
      <c r="D16" s="35">
        <v>4</v>
      </c>
      <c r="E16" s="33">
        <v>4</v>
      </c>
      <c r="F16" s="33">
        <v>4</v>
      </c>
      <c r="G16" s="33">
        <f t="shared" si="0"/>
        <v>1</v>
      </c>
      <c r="H16" s="33">
        <f t="shared" si="0"/>
        <v>1</v>
      </c>
      <c r="I16" s="33">
        <f t="shared" si="1"/>
        <v>4</v>
      </c>
      <c r="J16" s="33">
        <f t="shared" si="2"/>
        <v>0</v>
      </c>
      <c r="K16" s="31"/>
      <c r="L16" s="31"/>
      <c r="M16" s="31"/>
    </row>
    <row r="17" spans="1:13" ht="18.5" thickBot="1">
      <c r="A17" s="65"/>
      <c r="B17" s="34" t="s">
        <v>98</v>
      </c>
      <c r="C17" s="32" t="s">
        <v>50</v>
      </c>
      <c r="D17" s="35">
        <v>3</v>
      </c>
      <c r="E17" s="33">
        <v>3</v>
      </c>
      <c r="F17" s="33">
        <v>3</v>
      </c>
      <c r="G17" s="33">
        <f t="shared" si="0"/>
        <v>1</v>
      </c>
      <c r="H17" s="33">
        <f t="shared" si="0"/>
        <v>1</v>
      </c>
      <c r="I17" s="33">
        <f t="shared" si="1"/>
        <v>3</v>
      </c>
      <c r="J17" s="33">
        <f t="shared" si="2"/>
        <v>0</v>
      </c>
      <c r="K17" s="31"/>
      <c r="L17" s="31"/>
      <c r="M17" s="31"/>
    </row>
    <row r="18" spans="1:13" ht="36.5" thickBot="1">
      <c r="A18" s="65"/>
      <c r="B18" s="34" t="s">
        <v>99</v>
      </c>
      <c r="C18" s="32" t="s">
        <v>50</v>
      </c>
      <c r="D18" s="35">
        <v>30</v>
      </c>
      <c r="E18" s="33">
        <v>30</v>
      </c>
      <c r="F18" s="33">
        <v>29</v>
      </c>
      <c r="G18" s="33">
        <f t="shared" si="0"/>
        <v>1</v>
      </c>
      <c r="H18" s="72">
        <f t="shared" si="0"/>
        <v>0.96666666666666667</v>
      </c>
      <c r="I18" s="33">
        <f t="shared" si="1"/>
        <v>30</v>
      </c>
      <c r="J18" s="33">
        <f t="shared" si="2"/>
        <v>0</v>
      </c>
      <c r="K18" s="31" t="s">
        <v>109</v>
      </c>
      <c r="L18" s="31" t="s">
        <v>110</v>
      </c>
      <c r="M18" s="31" t="s">
        <v>111</v>
      </c>
    </row>
    <row r="19" spans="1:13" ht="18.5" thickBot="1">
      <c r="A19" s="65"/>
      <c r="B19" s="34" t="s">
        <v>100</v>
      </c>
      <c r="C19" s="32" t="s">
        <v>50</v>
      </c>
      <c r="D19" s="35">
        <v>4</v>
      </c>
      <c r="E19" s="33">
        <v>4</v>
      </c>
      <c r="F19" s="33">
        <v>4</v>
      </c>
      <c r="G19" s="33">
        <f t="shared" si="0"/>
        <v>1</v>
      </c>
      <c r="H19" s="33">
        <f t="shared" si="0"/>
        <v>1</v>
      </c>
      <c r="I19" s="33">
        <f t="shared" si="1"/>
        <v>4</v>
      </c>
      <c r="J19" s="33">
        <f t="shared" si="2"/>
        <v>0</v>
      </c>
      <c r="K19" s="31"/>
      <c r="L19" s="31"/>
      <c r="M19" s="31"/>
    </row>
    <row r="20" spans="1:13" ht="18.5" thickBot="1">
      <c r="A20" s="65"/>
      <c r="B20" s="34" t="s">
        <v>101</v>
      </c>
      <c r="C20" s="32" t="s">
        <v>50</v>
      </c>
      <c r="D20" s="35">
        <v>18</v>
      </c>
      <c r="E20" s="33">
        <v>18</v>
      </c>
      <c r="F20" s="33">
        <v>18</v>
      </c>
      <c r="G20" s="33">
        <f t="shared" si="0"/>
        <v>1</v>
      </c>
      <c r="H20" s="33">
        <f t="shared" si="0"/>
        <v>1</v>
      </c>
      <c r="I20" s="33">
        <f t="shared" si="1"/>
        <v>18</v>
      </c>
      <c r="J20" s="33">
        <f t="shared" si="2"/>
        <v>0</v>
      </c>
      <c r="K20" s="31"/>
      <c r="L20" s="31"/>
      <c r="M20" s="31"/>
    </row>
    <row r="21" spans="1:13" ht="36.5" thickBot="1">
      <c r="A21" s="65"/>
      <c r="B21" s="34" t="s">
        <v>102</v>
      </c>
      <c r="C21" s="32" t="s">
        <v>50</v>
      </c>
      <c r="D21" s="35">
        <v>161</v>
      </c>
      <c r="E21" s="33">
        <v>161</v>
      </c>
      <c r="F21" s="33">
        <v>155</v>
      </c>
      <c r="G21" s="33">
        <f t="shared" si="0"/>
        <v>1</v>
      </c>
      <c r="H21" s="72">
        <f t="shared" si="0"/>
        <v>0.96273291925465843</v>
      </c>
      <c r="I21" s="33">
        <f t="shared" si="1"/>
        <v>161</v>
      </c>
      <c r="J21" s="33">
        <f t="shared" si="2"/>
        <v>0</v>
      </c>
      <c r="K21" s="31" t="s">
        <v>109</v>
      </c>
      <c r="L21" s="31" t="s">
        <v>110</v>
      </c>
      <c r="M21" s="31" t="s">
        <v>111</v>
      </c>
    </row>
    <row r="22" spans="1:13" ht="18.5" thickBot="1">
      <c r="A22" s="65"/>
      <c r="B22" s="34" t="s">
        <v>103</v>
      </c>
      <c r="C22" s="32" t="s">
        <v>50</v>
      </c>
      <c r="D22" s="35">
        <v>12</v>
      </c>
      <c r="E22" s="33">
        <v>12</v>
      </c>
      <c r="F22" s="33">
        <v>12</v>
      </c>
      <c r="G22" s="33">
        <f t="shared" si="0"/>
        <v>1</v>
      </c>
      <c r="H22" s="33">
        <f t="shared" si="0"/>
        <v>1</v>
      </c>
      <c r="I22" s="33">
        <f t="shared" si="1"/>
        <v>12</v>
      </c>
      <c r="J22" s="33">
        <f t="shared" si="2"/>
        <v>0</v>
      </c>
      <c r="K22" s="31"/>
      <c r="L22" s="31"/>
      <c r="M22" s="31"/>
    </row>
    <row r="23" spans="1:13" ht="18.5" thickBot="1">
      <c r="A23" s="68"/>
      <c r="B23" s="34" t="s">
        <v>5</v>
      </c>
      <c r="C23" s="32" t="s">
        <v>104</v>
      </c>
      <c r="D23" s="35">
        <v>846</v>
      </c>
      <c r="E23" s="33">
        <v>846</v>
      </c>
      <c r="F23" s="33">
        <v>846</v>
      </c>
      <c r="G23" s="33">
        <f t="shared" si="0"/>
        <v>1</v>
      </c>
      <c r="H23" s="33">
        <f t="shared" si="0"/>
        <v>1</v>
      </c>
      <c r="I23" s="33">
        <f t="shared" si="1"/>
        <v>846</v>
      </c>
      <c r="J23" s="33">
        <f t="shared" si="2"/>
        <v>0</v>
      </c>
      <c r="K23" s="31"/>
      <c r="L23" s="31"/>
      <c r="M23" s="31"/>
    </row>
    <row r="24" spans="1:13" ht="54.5" thickBot="1">
      <c r="A24" s="64" t="s">
        <v>106</v>
      </c>
      <c r="B24" s="73" t="s">
        <v>94</v>
      </c>
      <c r="C24" s="32" t="s">
        <v>50</v>
      </c>
      <c r="D24" s="33">
        <v>3</v>
      </c>
      <c r="E24" s="33">
        <v>3</v>
      </c>
      <c r="F24" s="33">
        <v>3</v>
      </c>
      <c r="G24" s="33">
        <f t="shared" si="0"/>
        <v>1</v>
      </c>
      <c r="H24" s="33">
        <f t="shared" si="0"/>
        <v>1</v>
      </c>
      <c r="I24" s="33">
        <f t="shared" si="1"/>
        <v>3</v>
      </c>
      <c r="J24" s="33">
        <f t="shared" si="2"/>
        <v>0</v>
      </c>
      <c r="K24" s="31"/>
      <c r="L24" s="31"/>
      <c r="M24" s="31"/>
    </row>
    <row r="25" spans="1:13" ht="36.5" thickBot="1">
      <c r="A25" s="65"/>
      <c r="B25" s="73" t="s">
        <v>113</v>
      </c>
      <c r="C25" s="32" t="s">
        <v>50</v>
      </c>
      <c r="D25" s="33">
        <v>1</v>
      </c>
      <c r="E25" s="33">
        <v>1</v>
      </c>
      <c r="F25" s="33">
        <v>1</v>
      </c>
      <c r="G25" s="33">
        <f t="shared" si="0"/>
        <v>1</v>
      </c>
      <c r="H25" s="33">
        <f t="shared" si="0"/>
        <v>1</v>
      </c>
      <c r="I25" s="33">
        <f t="shared" si="1"/>
        <v>1</v>
      </c>
      <c r="J25" s="33">
        <f t="shared" si="2"/>
        <v>0</v>
      </c>
      <c r="K25" s="31"/>
      <c r="L25" s="31"/>
      <c r="M25" s="31"/>
    </row>
    <row r="26" spans="1:13" ht="36.5" thickBot="1">
      <c r="A26" s="65"/>
      <c r="B26" s="74" t="s">
        <v>97</v>
      </c>
      <c r="C26" s="32" t="s">
        <v>50</v>
      </c>
      <c r="D26" s="35">
        <v>2</v>
      </c>
      <c r="E26" s="33">
        <v>2</v>
      </c>
      <c r="F26" s="33">
        <v>2</v>
      </c>
      <c r="G26" s="33">
        <f t="shared" si="0"/>
        <v>1</v>
      </c>
      <c r="H26" s="33">
        <f t="shared" si="0"/>
        <v>1</v>
      </c>
      <c r="I26" s="33">
        <f t="shared" si="1"/>
        <v>2</v>
      </c>
      <c r="J26" s="33">
        <f t="shared" si="2"/>
        <v>0</v>
      </c>
      <c r="K26" s="31"/>
      <c r="L26" s="31"/>
      <c r="M26" s="31"/>
    </row>
    <row r="27" spans="1:13" ht="36.5" thickBot="1">
      <c r="A27" s="65"/>
      <c r="B27" s="74" t="s">
        <v>98</v>
      </c>
      <c r="C27" s="32" t="s">
        <v>50</v>
      </c>
      <c r="D27" s="35">
        <v>3</v>
      </c>
      <c r="E27" s="33">
        <v>3</v>
      </c>
      <c r="F27" s="33">
        <v>3</v>
      </c>
      <c r="G27" s="33">
        <f t="shared" si="0"/>
        <v>1</v>
      </c>
      <c r="H27" s="33">
        <f t="shared" si="0"/>
        <v>1</v>
      </c>
      <c r="I27" s="33">
        <f t="shared" si="1"/>
        <v>3</v>
      </c>
      <c r="J27" s="33">
        <f t="shared" si="2"/>
        <v>0</v>
      </c>
      <c r="K27" s="31"/>
      <c r="L27" s="31"/>
      <c r="M27" s="31"/>
    </row>
    <row r="28" spans="1:13" ht="36.5" thickBot="1">
      <c r="A28" s="65"/>
      <c r="B28" s="74" t="s">
        <v>99</v>
      </c>
      <c r="C28" s="32" t="s">
        <v>50</v>
      </c>
      <c r="D28" s="35">
        <v>18</v>
      </c>
      <c r="E28" s="33">
        <v>18</v>
      </c>
      <c r="F28" s="33">
        <v>18</v>
      </c>
      <c r="G28" s="33">
        <f t="shared" si="0"/>
        <v>1</v>
      </c>
      <c r="H28" s="33">
        <f t="shared" si="0"/>
        <v>1</v>
      </c>
      <c r="I28" s="33">
        <f t="shared" si="1"/>
        <v>18</v>
      </c>
      <c r="J28" s="33">
        <f t="shared" si="2"/>
        <v>0</v>
      </c>
      <c r="K28" s="31"/>
      <c r="L28" s="31"/>
      <c r="M28" s="31"/>
    </row>
    <row r="29" spans="1:13" ht="36.5" thickBot="1">
      <c r="A29" s="65"/>
      <c r="B29" s="74" t="s">
        <v>100</v>
      </c>
      <c r="C29" s="32" t="s">
        <v>50</v>
      </c>
      <c r="D29" s="35">
        <v>2</v>
      </c>
      <c r="E29" s="33">
        <v>2</v>
      </c>
      <c r="F29" s="33">
        <v>2</v>
      </c>
      <c r="G29" s="33">
        <f t="shared" si="0"/>
        <v>1</v>
      </c>
      <c r="H29" s="33">
        <f t="shared" si="0"/>
        <v>1</v>
      </c>
      <c r="I29" s="33">
        <f t="shared" si="1"/>
        <v>2</v>
      </c>
      <c r="J29" s="33">
        <f t="shared" si="2"/>
        <v>0</v>
      </c>
      <c r="K29" s="31"/>
      <c r="L29" s="31"/>
      <c r="M29" s="31"/>
    </row>
    <row r="30" spans="1:13" ht="54.5" thickBot="1">
      <c r="A30" s="65"/>
      <c r="B30" s="74" t="s">
        <v>101</v>
      </c>
      <c r="C30" s="32" t="s">
        <v>50</v>
      </c>
      <c r="D30" s="35">
        <v>9</v>
      </c>
      <c r="E30" s="33">
        <v>9</v>
      </c>
      <c r="F30" s="33">
        <v>9</v>
      </c>
      <c r="G30" s="33">
        <f t="shared" si="0"/>
        <v>1</v>
      </c>
      <c r="H30" s="33">
        <f t="shared" si="0"/>
        <v>1</v>
      </c>
      <c r="I30" s="33">
        <f t="shared" si="1"/>
        <v>9</v>
      </c>
      <c r="J30" s="33">
        <f t="shared" si="2"/>
        <v>0</v>
      </c>
      <c r="K30" s="31"/>
      <c r="L30" s="31"/>
      <c r="M30" s="31"/>
    </row>
    <row r="31" spans="1:13" ht="54.5" thickBot="1">
      <c r="A31" s="65"/>
      <c r="B31" s="74" t="s">
        <v>102</v>
      </c>
      <c r="C31" s="32" t="s">
        <v>50</v>
      </c>
      <c r="D31" s="35">
        <v>96</v>
      </c>
      <c r="E31" s="33">
        <v>96</v>
      </c>
      <c r="F31" s="33">
        <v>92</v>
      </c>
      <c r="G31" s="33">
        <f t="shared" si="0"/>
        <v>1</v>
      </c>
      <c r="H31" s="72">
        <f t="shared" si="0"/>
        <v>0.95833333333333337</v>
      </c>
      <c r="I31" s="33">
        <f t="shared" si="1"/>
        <v>96</v>
      </c>
      <c r="J31" s="33">
        <f t="shared" si="2"/>
        <v>0</v>
      </c>
      <c r="K31" s="31" t="s">
        <v>109</v>
      </c>
      <c r="L31" s="31" t="s">
        <v>110</v>
      </c>
      <c r="M31" s="31" t="s">
        <v>111</v>
      </c>
    </row>
    <row r="32" spans="1:13" ht="36.5" thickBot="1">
      <c r="A32" s="65"/>
      <c r="B32" s="74" t="s">
        <v>103</v>
      </c>
      <c r="C32" s="32" t="s">
        <v>50</v>
      </c>
      <c r="D32" s="35">
        <v>4</v>
      </c>
      <c r="E32" s="33">
        <v>4</v>
      </c>
      <c r="F32" s="33">
        <v>4</v>
      </c>
      <c r="G32" s="33">
        <f t="shared" si="0"/>
        <v>1</v>
      </c>
      <c r="H32" s="33">
        <f t="shared" si="0"/>
        <v>1</v>
      </c>
      <c r="I32" s="33">
        <f t="shared" si="1"/>
        <v>4</v>
      </c>
      <c r="J32" s="33">
        <f t="shared" si="2"/>
        <v>0</v>
      </c>
      <c r="K32" s="31"/>
      <c r="L32" s="31"/>
      <c r="M32" s="31"/>
    </row>
    <row r="33" spans="1:13" ht="36.5" thickBot="1">
      <c r="A33" s="68"/>
      <c r="B33" s="74" t="s">
        <v>5</v>
      </c>
      <c r="C33" s="32" t="s">
        <v>104</v>
      </c>
      <c r="D33" s="35">
        <v>514</v>
      </c>
      <c r="E33" s="33">
        <v>514</v>
      </c>
      <c r="F33" s="33">
        <v>514</v>
      </c>
      <c r="G33" s="33">
        <f t="shared" si="0"/>
        <v>1</v>
      </c>
      <c r="H33" s="33">
        <f t="shared" si="0"/>
        <v>1</v>
      </c>
      <c r="I33" s="33">
        <f t="shared" si="1"/>
        <v>514</v>
      </c>
      <c r="J33" s="33">
        <f t="shared" si="2"/>
        <v>0</v>
      </c>
      <c r="K33" s="31"/>
      <c r="L33" s="31"/>
      <c r="M33" s="31"/>
    </row>
    <row r="34" spans="1:13" ht="36.5" thickBot="1">
      <c r="A34" s="64" t="s">
        <v>107</v>
      </c>
      <c r="B34" s="31" t="s">
        <v>97</v>
      </c>
      <c r="C34" s="32" t="s">
        <v>50</v>
      </c>
      <c r="D34" s="33">
        <v>2</v>
      </c>
      <c r="E34" s="33">
        <v>2</v>
      </c>
      <c r="F34" s="33">
        <v>2</v>
      </c>
      <c r="G34" s="33">
        <f t="shared" si="0"/>
        <v>1</v>
      </c>
      <c r="H34" s="33">
        <f t="shared" si="0"/>
        <v>1</v>
      </c>
      <c r="I34" s="33">
        <f t="shared" si="1"/>
        <v>2</v>
      </c>
      <c r="J34" s="33">
        <f t="shared" si="2"/>
        <v>0</v>
      </c>
      <c r="K34" s="31"/>
      <c r="L34" s="31"/>
      <c r="M34" s="31"/>
    </row>
    <row r="35" spans="1:13" ht="18.5" thickBot="1">
      <c r="A35" s="65"/>
      <c r="B35" s="34" t="s">
        <v>99</v>
      </c>
      <c r="C35" s="32" t="s">
        <v>50</v>
      </c>
      <c r="D35" s="35">
        <v>18</v>
      </c>
      <c r="E35" s="33">
        <v>18</v>
      </c>
      <c r="F35" s="33">
        <v>18</v>
      </c>
      <c r="G35" s="33">
        <f t="shared" si="0"/>
        <v>1</v>
      </c>
      <c r="H35" s="33">
        <f t="shared" si="0"/>
        <v>1</v>
      </c>
      <c r="I35" s="33">
        <f t="shared" si="1"/>
        <v>18</v>
      </c>
      <c r="J35" s="33">
        <f t="shared" si="2"/>
        <v>0</v>
      </c>
      <c r="K35" s="31"/>
      <c r="L35" s="31"/>
      <c r="M35" s="31"/>
    </row>
    <row r="36" spans="1:13" ht="18.5" thickBot="1">
      <c r="A36" s="65"/>
      <c r="B36" s="34" t="s">
        <v>100</v>
      </c>
      <c r="C36" s="32" t="s">
        <v>50</v>
      </c>
      <c r="D36" s="35">
        <v>2</v>
      </c>
      <c r="E36" s="33">
        <v>2</v>
      </c>
      <c r="F36" s="33">
        <v>2</v>
      </c>
      <c r="G36" s="33">
        <f t="shared" si="0"/>
        <v>1</v>
      </c>
      <c r="H36" s="33">
        <f t="shared" si="0"/>
        <v>1</v>
      </c>
      <c r="I36" s="33">
        <f t="shared" si="1"/>
        <v>2</v>
      </c>
      <c r="J36" s="33">
        <f t="shared" si="2"/>
        <v>0</v>
      </c>
      <c r="K36" s="31"/>
      <c r="L36" s="31"/>
      <c r="M36" s="31"/>
    </row>
    <row r="37" spans="1:13" ht="18.5" thickBot="1">
      <c r="A37" s="65"/>
      <c r="B37" s="34" t="s">
        <v>101</v>
      </c>
      <c r="C37" s="32" t="s">
        <v>50</v>
      </c>
      <c r="D37" s="35">
        <v>9</v>
      </c>
      <c r="E37" s="33">
        <v>9</v>
      </c>
      <c r="F37" s="33">
        <v>9</v>
      </c>
      <c r="G37" s="33">
        <f t="shared" si="0"/>
        <v>1</v>
      </c>
      <c r="H37" s="33">
        <f t="shared" si="0"/>
        <v>1</v>
      </c>
      <c r="I37" s="33">
        <f t="shared" si="1"/>
        <v>9</v>
      </c>
      <c r="J37" s="33">
        <f t="shared" si="2"/>
        <v>0</v>
      </c>
      <c r="K37" s="31"/>
      <c r="L37" s="31"/>
      <c r="M37" s="31"/>
    </row>
    <row r="38" spans="1:13" ht="18.5" thickBot="1">
      <c r="A38" s="65"/>
      <c r="B38" s="34" t="s">
        <v>102</v>
      </c>
      <c r="C38" s="32" t="s">
        <v>50</v>
      </c>
      <c r="D38" s="35">
        <v>69</v>
      </c>
      <c r="E38" s="33">
        <v>69</v>
      </c>
      <c r="F38" s="33">
        <v>67</v>
      </c>
      <c r="G38" s="33">
        <f t="shared" si="0"/>
        <v>1</v>
      </c>
      <c r="H38" s="72">
        <f t="shared" si="0"/>
        <v>0.97101449275362317</v>
      </c>
      <c r="I38" s="33">
        <f t="shared" si="1"/>
        <v>69</v>
      </c>
      <c r="J38" s="33">
        <f t="shared" si="2"/>
        <v>0</v>
      </c>
      <c r="K38" s="31"/>
      <c r="L38" s="31"/>
      <c r="M38" s="31"/>
    </row>
    <row r="39" spans="1:13" ht="18.5" thickBot="1">
      <c r="A39" s="65"/>
      <c r="B39" s="34" t="s">
        <v>103</v>
      </c>
      <c r="C39" s="32" t="s">
        <v>50</v>
      </c>
      <c r="D39" s="35">
        <v>4</v>
      </c>
      <c r="E39" s="33">
        <v>4</v>
      </c>
      <c r="F39" s="33">
        <v>4</v>
      </c>
      <c r="G39" s="33">
        <f t="shared" si="0"/>
        <v>1</v>
      </c>
      <c r="H39" s="33">
        <f t="shared" si="0"/>
        <v>1</v>
      </c>
      <c r="I39" s="33">
        <f t="shared" si="1"/>
        <v>4</v>
      </c>
      <c r="J39" s="33">
        <f t="shared" si="2"/>
        <v>0</v>
      </c>
      <c r="K39" s="31"/>
      <c r="L39" s="31"/>
      <c r="M39" s="31"/>
    </row>
    <row r="40" spans="1:13" ht="18.5" thickBot="1">
      <c r="A40" s="68"/>
      <c r="B40" s="34" t="s">
        <v>5</v>
      </c>
      <c r="C40" s="32" t="s">
        <v>104</v>
      </c>
      <c r="D40" s="35">
        <v>350</v>
      </c>
      <c r="E40" s="33">
        <v>350</v>
      </c>
      <c r="F40" s="33">
        <v>350</v>
      </c>
      <c r="G40" s="33">
        <f t="shared" si="0"/>
        <v>1</v>
      </c>
      <c r="H40" s="33">
        <f t="shared" si="0"/>
        <v>1</v>
      </c>
      <c r="I40" s="33">
        <f t="shared" si="1"/>
        <v>350</v>
      </c>
      <c r="J40" s="33">
        <f t="shared" si="2"/>
        <v>0</v>
      </c>
      <c r="K40" s="31"/>
      <c r="L40" s="31"/>
      <c r="M40" s="31"/>
    </row>
    <row r="41" spans="1:13" ht="54.5" thickBot="1">
      <c r="A41" s="64" t="s">
        <v>108</v>
      </c>
      <c r="B41" s="31" t="s">
        <v>94</v>
      </c>
      <c r="C41" s="32" t="s">
        <v>50</v>
      </c>
      <c r="D41" s="33">
        <v>3</v>
      </c>
      <c r="E41" s="33">
        <v>3</v>
      </c>
      <c r="F41" s="33">
        <v>3</v>
      </c>
      <c r="G41" s="33">
        <f t="shared" si="0"/>
        <v>1</v>
      </c>
      <c r="H41" s="33">
        <f t="shared" si="0"/>
        <v>1</v>
      </c>
      <c r="I41" s="33">
        <f t="shared" si="1"/>
        <v>3</v>
      </c>
      <c r="J41" s="33">
        <f t="shared" si="2"/>
        <v>0</v>
      </c>
      <c r="K41" s="31"/>
      <c r="L41" s="31"/>
      <c r="M41" s="31" t="s">
        <v>112</v>
      </c>
    </row>
    <row r="42" spans="1:13" ht="18.5" thickBot="1">
      <c r="A42" s="65"/>
      <c r="B42" s="34" t="s">
        <v>114</v>
      </c>
      <c r="C42" s="32" t="s">
        <v>50</v>
      </c>
      <c r="D42" s="35">
        <v>4</v>
      </c>
      <c r="E42" s="33">
        <v>4</v>
      </c>
      <c r="F42" s="33">
        <v>4</v>
      </c>
      <c r="G42" s="33">
        <f t="shared" si="0"/>
        <v>1</v>
      </c>
      <c r="H42" s="33">
        <f t="shared" si="0"/>
        <v>1</v>
      </c>
      <c r="I42" s="33">
        <f t="shared" si="1"/>
        <v>4</v>
      </c>
      <c r="J42" s="33">
        <f t="shared" si="2"/>
        <v>0</v>
      </c>
      <c r="K42" s="31"/>
      <c r="L42" s="31"/>
      <c r="M42" s="31"/>
    </row>
    <row r="43" spans="1:13" ht="18.5" thickBot="1">
      <c r="A43" s="65"/>
      <c r="B43" s="34" t="s">
        <v>98</v>
      </c>
      <c r="C43" s="32" t="s">
        <v>50</v>
      </c>
      <c r="D43" s="35">
        <v>3</v>
      </c>
      <c r="E43" s="33">
        <v>3</v>
      </c>
      <c r="F43" s="33">
        <v>3</v>
      </c>
      <c r="G43" s="33">
        <f t="shared" si="0"/>
        <v>1</v>
      </c>
      <c r="H43" s="33">
        <f t="shared" si="0"/>
        <v>1</v>
      </c>
      <c r="I43" s="33">
        <f t="shared" si="1"/>
        <v>3</v>
      </c>
      <c r="J43" s="33">
        <f t="shared" si="2"/>
        <v>0</v>
      </c>
      <c r="K43" s="31"/>
      <c r="L43" s="31"/>
      <c r="M43" s="31"/>
    </row>
    <row r="44" spans="1:13" ht="18.5" thickBot="1">
      <c r="A44" s="65"/>
      <c r="B44" s="34" t="s">
        <v>99</v>
      </c>
      <c r="C44" s="32" t="s">
        <v>50</v>
      </c>
      <c r="D44" s="35">
        <v>6</v>
      </c>
      <c r="E44" s="33">
        <v>6</v>
      </c>
      <c r="F44" s="33">
        <v>6</v>
      </c>
      <c r="G44" s="33">
        <f t="shared" si="0"/>
        <v>1</v>
      </c>
      <c r="H44" s="33">
        <f t="shared" si="0"/>
        <v>1</v>
      </c>
      <c r="I44" s="33">
        <f t="shared" si="1"/>
        <v>6</v>
      </c>
      <c r="J44" s="33">
        <f t="shared" si="2"/>
        <v>0</v>
      </c>
      <c r="K44" s="31"/>
      <c r="L44" s="31"/>
      <c r="M44" s="31"/>
    </row>
    <row r="45" spans="1:13" ht="18.5" thickBot="1">
      <c r="A45" s="65"/>
      <c r="B45" s="34" t="s">
        <v>102</v>
      </c>
      <c r="C45" s="32" t="s">
        <v>50</v>
      </c>
      <c r="D45" s="35">
        <v>160</v>
      </c>
      <c r="E45" s="33">
        <v>160</v>
      </c>
      <c r="F45" s="33">
        <v>160</v>
      </c>
      <c r="G45" s="33">
        <f t="shared" si="0"/>
        <v>1</v>
      </c>
      <c r="H45" s="33">
        <f t="shared" si="0"/>
        <v>1</v>
      </c>
      <c r="I45" s="33">
        <f t="shared" si="1"/>
        <v>160</v>
      </c>
      <c r="J45" s="33">
        <f t="shared" si="2"/>
        <v>0</v>
      </c>
      <c r="K45" s="31"/>
      <c r="L45" s="31"/>
      <c r="M45" s="31"/>
    </row>
    <row r="46" spans="1:13" ht="18.5" thickBot="1">
      <c r="A46" s="65"/>
      <c r="B46" s="34" t="s">
        <v>103</v>
      </c>
      <c r="C46" s="32" t="s">
        <v>50</v>
      </c>
      <c r="D46" s="35">
        <v>22</v>
      </c>
      <c r="E46" s="33">
        <v>22</v>
      </c>
      <c r="F46" s="33">
        <v>22</v>
      </c>
      <c r="G46" s="33">
        <f t="shared" si="0"/>
        <v>1</v>
      </c>
      <c r="H46" s="33">
        <f t="shared" si="0"/>
        <v>1</v>
      </c>
      <c r="I46" s="33">
        <f t="shared" si="1"/>
        <v>22</v>
      </c>
      <c r="J46" s="33">
        <f t="shared" si="2"/>
        <v>0</v>
      </c>
      <c r="K46" s="31"/>
      <c r="L46" s="31"/>
      <c r="M46" s="31"/>
    </row>
    <row r="47" spans="1:13" ht="18.5" thickBot="1">
      <c r="A47" s="68"/>
      <c r="B47" s="34" t="s">
        <v>5</v>
      </c>
      <c r="C47" s="32" t="s">
        <v>104</v>
      </c>
      <c r="D47" s="35">
        <v>693</v>
      </c>
      <c r="E47" s="33">
        <v>693</v>
      </c>
      <c r="F47" s="33">
        <v>693</v>
      </c>
      <c r="G47" s="33">
        <f t="shared" si="0"/>
        <v>1</v>
      </c>
      <c r="H47" s="33">
        <f t="shared" si="0"/>
        <v>1</v>
      </c>
      <c r="I47" s="33">
        <f t="shared" si="1"/>
        <v>693</v>
      </c>
      <c r="J47" s="33">
        <f t="shared" si="2"/>
        <v>0</v>
      </c>
      <c r="K47" s="31"/>
      <c r="L47" s="31"/>
      <c r="M47" s="31"/>
    </row>
  </sheetData>
  <mergeCells count="12">
    <mergeCell ref="C1:C2"/>
    <mergeCell ref="J1:M1"/>
    <mergeCell ref="A3:A13"/>
    <mergeCell ref="E1:H1"/>
    <mergeCell ref="I1:I2"/>
    <mergeCell ref="D1:D2"/>
    <mergeCell ref="A1:A2"/>
    <mergeCell ref="B1:B2"/>
    <mergeCell ref="A14:A23"/>
    <mergeCell ref="A24:A33"/>
    <mergeCell ref="A34:A40"/>
    <mergeCell ref="A41:A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2026-03-04T16:59:08Z</dcterms:modified>
</cp:coreProperties>
</file>