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new\Resources\Sheet\"/>
    </mc:Choice>
  </mc:AlternateContent>
  <xr:revisionPtr revIDLastSave="0" documentId="13_ncr:1_{D6215BA8-CBF4-4C3C-A463-38481D1718CE}" xr6:coauthVersionLast="47" xr6:coauthVersionMax="47" xr10:uidLastSave="{00000000-0000-0000-0000-000000000000}"/>
  <bookViews>
    <workbookView xWindow="-120" yWindow="-120" windowWidth="29040" windowHeight="17640" activeTab="4" xr2:uid="{FCE59EA9-790B-433B-B511-234C9C16BD72}"/>
  </bookViews>
  <sheets>
    <sheet name="Sheet1" sheetId="1" r:id="rId1"/>
    <sheet name="Sheet2" sheetId="2" r:id="rId2"/>
    <sheet name="Sheet5" sheetId="5" r:id="rId3"/>
    <sheet name="Sheet7" sheetId="7" r:id="rId4"/>
    <sheet name="Sheet8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8" l="1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3" i="8"/>
  <c r="J57" i="8"/>
  <c r="J56" i="8"/>
  <c r="J55" i="8"/>
  <c r="I55" i="8"/>
  <c r="J54" i="8"/>
  <c r="I54" i="8"/>
  <c r="J53" i="8"/>
  <c r="I53" i="8"/>
  <c r="I52" i="8"/>
  <c r="J52" i="8"/>
  <c r="J51" i="8"/>
  <c r="J50" i="8"/>
  <c r="I50" i="8"/>
  <c r="J49" i="8"/>
  <c r="J48" i="8"/>
  <c r="I48" i="8"/>
  <c r="J47" i="8"/>
  <c r="I47" i="8"/>
  <c r="J46" i="8"/>
  <c r="J45" i="8"/>
  <c r="J44" i="8"/>
  <c r="J43" i="8"/>
  <c r="I43" i="8"/>
  <c r="J42" i="8"/>
  <c r="I42" i="8"/>
  <c r="J41" i="8"/>
  <c r="I41" i="8"/>
  <c r="I40" i="8"/>
  <c r="J40" i="8"/>
  <c r="I39" i="8"/>
  <c r="J38" i="8"/>
  <c r="I38" i="8"/>
  <c r="J37" i="8"/>
  <c r="J36" i="8"/>
  <c r="I36" i="8"/>
  <c r="J35" i="8"/>
  <c r="I35" i="8"/>
  <c r="J34" i="8"/>
  <c r="J33" i="8"/>
  <c r="J32" i="8"/>
  <c r="J31" i="8"/>
  <c r="I31" i="8"/>
  <c r="J30" i="8"/>
  <c r="I30" i="8"/>
  <c r="J29" i="8"/>
  <c r="I29" i="8"/>
  <c r="I28" i="8"/>
  <c r="J28" i="8"/>
  <c r="J27" i="8"/>
  <c r="J26" i="8"/>
  <c r="I26" i="8"/>
  <c r="J25" i="8"/>
  <c r="J24" i="8"/>
  <c r="I24" i="8"/>
  <c r="J23" i="8"/>
  <c r="I23" i="8"/>
  <c r="J22" i="8"/>
  <c r="I21" i="8"/>
  <c r="J21" i="8"/>
  <c r="J19" i="8"/>
  <c r="I19" i="8"/>
  <c r="J18" i="8"/>
  <c r="I18" i="8"/>
  <c r="J17" i="8"/>
  <c r="I17" i="8"/>
  <c r="I16" i="8"/>
  <c r="J16" i="8"/>
  <c r="I15" i="8"/>
  <c r="J14" i="8"/>
  <c r="I14" i="8"/>
  <c r="J13" i="8"/>
  <c r="J12" i="8"/>
  <c r="I12" i="8"/>
  <c r="J11" i="8"/>
  <c r="I11" i="8"/>
  <c r="I9" i="8"/>
  <c r="J9" i="8"/>
  <c r="J7" i="8"/>
  <c r="I7" i="8"/>
  <c r="J6" i="8"/>
  <c r="I6" i="8"/>
  <c r="J5" i="8"/>
  <c r="I5" i="8"/>
  <c r="I4" i="8"/>
  <c r="J4" i="8"/>
  <c r="I46" i="8" l="1"/>
  <c r="I22" i="8"/>
  <c r="I34" i="8"/>
  <c r="I27" i="8"/>
  <c r="I51" i="8"/>
  <c r="J3" i="8"/>
  <c r="I8" i="8"/>
  <c r="J15" i="8"/>
  <c r="I20" i="8"/>
  <c r="I32" i="8"/>
  <c r="J39" i="8"/>
  <c r="I44" i="8"/>
  <c r="I56" i="8"/>
  <c r="I3" i="8"/>
  <c r="J10" i="8"/>
  <c r="J8" i="8"/>
  <c r="I13" i="8"/>
  <c r="J20" i="8"/>
  <c r="I25" i="8"/>
  <c r="I37" i="8"/>
  <c r="I49" i="8"/>
  <c r="I10" i="8"/>
  <c r="I33" i="8"/>
  <c r="I45" i="8"/>
  <c r="I57" i="8"/>
  <c r="B6" i="1"/>
  <c r="C6" i="1"/>
  <c r="D6" i="1"/>
  <c r="E6" i="1"/>
  <c r="F6" i="1"/>
  <c r="G6" i="1"/>
  <c r="H6" i="1"/>
  <c r="I6" i="1"/>
  <c r="F11" i="7"/>
  <c r="F15" i="7"/>
  <c r="F13" i="7" s="1"/>
  <c r="F16" i="7"/>
  <c r="F14" i="7"/>
  <c r="E13" i="7"/>
  <c r="D13" i="7"/>
  <c r="C13" i="7"/>
  <c r="F12" i="7"/>
  <c r="F10" i="7"/>
  <c r="F9" i="7"/>
  <c r="F8" i="7"/>
  <c r="F7" i="7"/>
  <c r="F5" i="7" s="1"/>
  <c r="F6" i="7"/>
  <c r="E5" i="7"/>
  <c r="D5" i="7"/>
  <c r="C5" i="7"/>
  <c r="M8" i="2"/>
  <c r="L8" i="2"/>
  <c r="K8" i="2"/>
  <c r="J8" i="2"/>
  <c r="I8" i="2"/>
  <c r="H8" i="2"/>
  <c r="G8" i="2"/>
  <c r="F8" i="2"/>
  <c r="E8" i="2"/>
  <c r="D8" i="2"/>
  <c r="C8" i="2"/>
  <c r="B8" i="2"/>
  <c r="M6" i="2"/>
  <c r="M19" i="2" s="1"/>
  <c r="L6" i="2"/>
  <c r="K6" i="2"/>
  <c r="K19" i="2" s="1"/>
  <c r="J6" i="2"/>
  <c r="J19" i="2" s="1"/>
  <c r="I6" i="2"/>
  <c r="H6" i="2"/>
  <c r="G6" i="2"/>
  <c r="G19" i="2" s="1"/>
  <c r="F6" i="2"/>
  <c r="F19" i="2" s="1"/>
  <c r="E6" i="2"/>
  <c r="E19" i="2" s="1"/>
  <c r="D6" i="2"/>
  <c r="D19" i="2" s="1"/>
  <c r="C6" i="2"/>
  <c r="C19" i="2" s="1"/>
  <c r="B6" i="2"/>
  <c r="B19" i="2" s="1"/>
  <c r="J6" i="1"/>
  <c r="K6" i="1"/>
  <c r="L6" i="1"/>
  <c r="M6" i="1"/>
  <c r="C17" i="1"/>
  <c r="M8" i="1"/>
  <c r="M17" i="1" s="1"/>
  <c r="L8" i="1"/>
  <c r="L17" i="1" s="1"/>
  <c r="K8" i="1"/>
  <c r="K17" i="1" s="1"/>
  <c r="J8" i="1"/>
  <c r="J17" i="1" s="1"/>
  <c r="I8" i="1"/>
  <c r="I17" i="1" s="1"/>
  <c r="H8" i="1"/>
  <c r="H17" i="1" s="1"/>
  <c r="G8" i="1"/>
  <c r="G17" i="1" s="1"/>
  <c r="F8" i="1"/>
  <c r="F17" i="1" s="1"/>
  <c r="E8" i="1"/>
  <c r="E17" i="1" s="1"/>
  <c r="D8" i="1"/>
  <c r="D17" i="1" s="1"/>
  <c r="C8" i="1"/>
  <c r="B8" i="1"/>
  <c r="B17" i="1" s="1"/>
  <c r="L19" i="2" l="1"/>
  <c r="I19" i="2"/>
  <c r="H19" i="2"/>
</calcChain>
</file>

<file path=xl/sharedStrings.xml><?xml version="1.0" encoding="utf-8"?>
<sst xmlns="http://schemas.openxmlformats.org/spreadsheetml/2006/main" count="253" uniqueCount="110">
  <si>
    <t>TỔ CHỨC BIÊN CHẾ, TRANG BỊ HƯỚNG CHỦ YẾU</t>
  </si>
  <si>
    <t>LỰC LƯỢNG</t>
  </si>
  <si>
    <t>QUÂN SỐ</t>
  </si>
  <si>
    <t>TRANG BỊ KỸ THUẬT</t>
  </si>
  <si>
    <t>Vũ khí bộ binh</t>
  </si>
  <si>
    <t>Lựu đạn</t>
  </si>
  <si>
    <t>Cối</t>
  </si>
  <si>
    <t>PCT</t>
  </si>
  <si>
    <t>Pháo PK</t>
  </si>
  <si>
    <t>SN</t>
  </si>
  <si>
    <t>TL</t>
  </si>
  <si>
    <t>TrL</t>
  </si>
  <si>
    <t>ĐL</t>
  </si>
  <si>
    <t>B41, M79</t>
  </si>
  <si>
    <t>SPG9</t>
  </si>
  <si>
    <t>1. Trong biên chế</t>
  </si>
  <si>
    <t>cBB1</t>
  </si>
  <si>
    <t>2. LL tăng cường</t>
  </si>
  <si>
    <t>1 b SPG-9/d</t>
  </si>
  <si>
    <t>cCo82(-)/d</t>
  </si>
  <si>
    <t>b SMPK 12,7mm/d</t>
  </si>
  <si>
    <t>cBB3 (-)</t>
  </si>
  <si>
    <t>Y tá/d</t>
  </si>
  <si>
    <t>Nuôi quân của cBB1</t>
  </si>
  <si>
    <t>Nuôi quân của cBB3 (-)</t>
  </si>
  <si>
    <t>a VTB</t>
  </si>
  <si>
    <t>Tổng</t>
  </si>
  <si>
    <t>TỔ CHỨC BIÊN CHẾ, TRANG BỊ TIỂU ĐOÀN BỘ BINH TIẾN CÔNG RỪNG NÚI</t>
  </si>
  <si>
    <t>dBB</t>
  </si>
  <si>
    <t>2. LL phối thuộc</t>
  </si>
  <si>
    <t>1 cO100/e</t>
  </si>
  <si>
    <t>1 cSPG-9/e</t>
  </si>
  <si>
    <t>1 cSMPK 12,7mm/e</t>
  </si>
  <si>
    <t>1b VTB/e</t>
  </si>
  <si>
    <t>1 tổ QY/e</t>
  </si>
  <si>
    <t>1 aHH/f</t>
  </si>
  <si>
    <t>2 PĐ TS/e</t>
  </si>
  <si>
    <t>1 b CB</t>
  </si>
  <si>
    <t>1 tổ SC/e</t>
  </si>
  <si>
    <t>1a TT/e</t>
  </si>
  <si>
    <t>ĐVT</t>
  </si>
  <si>
    <t>Hiện có</t>
  </si>
  <si>
    <t>PC TQĐ</t>
  </si>
  <si>
    <t>+</t>
  </si>
  <si>
    <t>Số tốt</t>
  </si>
  <si>
    <t>Khẩu</t>
  </si>
  <si>
    <t>Loại vật chất</t>
  </si>
  <si>
    <t>TT</t>
  </si>
  <si>
    <t>PC SCĐ</t>
  </si>
  <si>
    <t>Kho d</t>
  </si>
  <si>
    <t>Đơn vị</t>
  </si>
  <si>
    <t>Nội dung</t>
  </si>
  <si>
    <t>Quân số</t>
  </si>
  <si>
    <t>Vũ khí trang bị kỹ thuật</t>
  </si>
  <si>
    <t>Phân chia lực lượng</t>
  </si>
  <si>
    <t>SQ</t>
  </si>
  <si>
    <t>QNCN</t>
  </si>
  <si>
    <t>HSQ-BS</t>
  </si>
  <si>
    <t>Vũ khí</t>
  </si>
  <si>
    <t>Xe-máy</t>
  </si>
  <si>
    <t>TB khác</t>
  </si>
  <si>
    <t>Bộ phận HC-KT</t>
  </si>
  <si>
    <t>Lực lượng tăng cường cho đơn vị</t>
  </si>
  <si>
    <t>QS</t>
  </si>
  <si>
    <t>TB</t>
  </si>
  <si>
    <t>Phân đội HC-KT</t>
  </si>
  <si>
    <t>-</t>
  </si>
  <si>
    <t>TLHC/d</t>
  </si>
  <si>
    <t>NVQK</t>
  </si>
  <si>
    <t>NVQN</t>
  </si>
  <si>
    <t>NVKT</t>
  </si>
  <si>
    <t>QY/d</t>
  </si>
  <si>
    <t>bVTB/d</t>
  </si>
  <si>
    <t>bPV/d</t>
  </si>
  <si>
    <t>LL tăng cường</t>
  </si>
  <si>
    <t>QY/e</t>
  </si>
  <si>
    <t>bVTB/e</t>
  </si>
  <si>
    <t>Tổ SC/e</t>
  </si>
  <si>
    <t>Tên TBKT</t>
  </si>
  <si>
    <t>Đơn vị tính</t>
  </si>
  <si>
    <t xml:space="preserve">Nhu cầu </t>
  </si>
  <si>
    <t>Phải có trước CĐ</t>
  </si>
  <si>
    <t>Phải bổ sung</t>
  </si>
  <si>
    <t>Tổng số</t>
  </si>
  <si>
    <r>
      <t>K</t>
    </r>
    <r>
      <rPr>
        <b/>
        <vertAlign val="subscript"/>
        <sz val="12"/>
        <color theme="1"/>
        <rFont val="Times New Roman"/>
        <family val="1"/>
      </rPr>
      <t>bđ</t>
    </r>
  </si>
  <si>
    <r>
      <t>K</t>
    </r>
    <r>
      <rPr>
        <b/>
        <vertAlign val="subscript"/>
        <sz val="12"/>
        <color theme="1"/>
        <rFont val="Times New Roman"/>
        <family val="1"/>
      </rPr>
      <t>t</t>
    </r>
  </si>
  <si>
    <t>Số lượng</t>
  </si>
  <si>
    <t>Thời gian</t>
  </si>
  <si>
    <t>Địa điểm</t>
  </si>
  <si>
    <t>Phương thức</t>
  </si>
  <si>
    <t>dBB1+PT</t>
  </si>
  <si>
    <t>SMPK 12,7mm</t>
  </si>
  <si>
    <t>Cối 100mm/e</t>
  </si>
  <si>
    <t>Cối 82mm/d</t>
  </si>
  <si>
    <t>Cối 60mm</t>
  </si>
  <si>
    <t>Súng SPG-9</t>
  </si>
  <si>
    <t>Súng B41</t>
  </si>
  <si>
    <t>14.00 N-4</t>
  </si>
  <si>
    <t>VTCH/đv</t>
  </si>
  <si>
    <t>Tay ba</t>
  </si>
  <si>
    <t>Súng đại liên</t>
  </si>
  <si>
    <t>Súng trung liên</t>
  </si>
  <si>
    <t>Súng tiểu liên</t>
  </si>
  <si>
    <t>Súng ngắn</t>
  </si>
  <si>
    <t>quả</t>
  </si>
  <si>
    <t>Hướng PN chủ yếu</t>
  </si>
  <si>
    <t>Hướng PN thứ yếu</t>
  </si>
  <si>
    <t>Hướng PN phía sau</t>
  </si>
  <si>
    <t>  </t>
  </si>
  <si>
    <t>Lực lượng còn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</si>
</sst>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8"/>
      <color theme="1"/>
      <name val="#9Slide02 Tieu de rat dai 01"/>
      <charset val="163"/>
    </font>
    <font>
      <b/>
      <sz val="8"/>
      <color theme="1"/>
      <name val="Times New Roman"/>
      <family val="1"/>
      <charset val="163"/>
    </font>
    <font>
      <sz val="8"/>
      <color theme="1"/>
      <name val="Times New Roman"/>
      <family val="1"/>
      <charset val="163"/>
    </font>
    <font>
      <sz val="8"/>
      <name val="Times New Roman"/>
      <family val="1"/>
      <charset val="163"/>
    </font>
    <font>
      <b/>
      <sz val="8"/>
      <color rgb="FFFF0000"/>
      <name val="Times New Roman"/>
      <family val="1"/>
      <charset val="163"/>
    </font>
    <font>
      <b/>
      <sz val="7"/>
      <color theme="1"/>
      <name val="Times New Roman"/>
      <family val="1"/>
      <charset val="163"/>
    </font>
    <font>
      <sz val="7"/>
      <color theme="1"/>
      <name val="Times New Roman"/>
      <family val="1"/>
      <charset val="163"/>
    </font>
    <font>
      <sz val="7"/>
      <name val="Times New Roman"/>
      <family val="1"/>
      <charset val="163"/>
    </font>
    <font>
      <sz val="7"/>
      <color theme="1"/>
      <name val="Times New Roman"/>
      <family val="1"/>
    </font>
    <font>
      <sz val="7"/>
      <color theme="1"/>
      <name val="Calibri"/>
      <family val="2"/>
      <charset val="163"/>
      <scheme val="minor"/>
    </font>
    <font>
      <b/>
      <sz val="7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vertical="center"/>
    </xf>
    <xf numFmtId="0" fontId="5" fillId="5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1" fillId="6" borderId="7" xfId="0" applyFont="1" applyFill="1" applyBorder="1" applyAlignment="1">
      <alignment horizontal="left" vertical="center"/>
    </xf>
    <xf numFmtId="0" fontId="11" fillId="6" borderId="7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7" xfId="0" applyBorder="1"/>
    <xf numFmtId="0" fontId="12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0" fontId="15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6" fillId="7" borderId="19" xfId="0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vertical="center" wrapText="1"/>
    </xf>
    <xf numFmtId="0" fontId="19" fillId="7" borderId="19" xfId="0" applyFont="1" applyFill="1" applyBorder="1" applyAlignment="1">
      <alignment vertical="center"/>
    </xf>
    <xf numFmtId="0" fontId="19" fillId="7" borderId="19" xfId="0" applyFont="1" applyFill="1" applyBorder="1" applyAlignment="1">
      <alignment horizontal="center" vertical="center"/>
    </xf>
    <xf numFmtId="3" fontId="19" fillId="7" borderId="19" xfId="0" applyNumberFormat="1" applyFont="1" applyFill="1" applyBorder="1" applyAlignment="1">
      <alignment horizontal="center" vertical="center"/>
    </xf>
    <xf numFmtId="3" fontId="19" fillId="3" borderId="19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textRotation="90" wrapText="1"/>
    </xf>
    <xf numFmtId="0" fontId="18" fillId="7" borderId="20" xfId="0" applyFont="1" applyFill="1" applyBorder="1" applyAlignment="1">
      <alignment horizontal="center" vertical="center" textRotation="90" wrapText="1"/>
    </xf>
    <xf numFmtId="0" fontId="18" fillId="7" borderId="18" xfId="0" applyFont="1" applyFill="1" applyBorder="1" applyAlignment="1">
      <alignment horizontal="center" vertical="center" textRotation="90" wrapText="1"/>
    </xf>
    <xf numFmtId="0" fontId="16" fillId="7" borderId="14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textRotation="90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173A-C175-4526-B966-989AD58BFBEE}">
  <dimension ref="A1:M17"/>
  <sheetViews>
    <sheetView topLeftCell="A7" workbookViewId="0">
      <selection activeCell="A17" sqref="A17"/>
    </sheetView>
  </sheetViews>
  <sheetFormatPr defaultRowHeight="15"/>
  <sheetData>
    <row r="1" spans="1:13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3" ht="13.9" customHeight="1">
      <c r="A3" s="54" t="s">
        <v>1</v>
      </c>
      <c r="B3" s="54" t="s">
        <v>2</v>
      </c>
      <c r="C3" s="54" t="s">
        <v>3</v>
      </c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>
      <c r="A4" s="54"/>
      <c r="B4" s="54"/>
      <c r="C4" s="54" t="s">
        <v>4</v>
      </c>
      <c r="D4" s="54"/>
      <c r="E4" s="54"/>
      <c r="F4" s="54"/>
      <c r="G4" s="54"/>
      <c r="H4" s="54" t="s">
        <v>5</v>
      </c>
      <c r="I4" s="54" t="s">
        <v>6</v>
      </c>
      <c r="J4" s="54"/>
      <c r="K4" s="54"/>
      <c r="L4" s="1" t="s">
        <v>7</v>
      </c>
      <c r="M4" s="1" t="s">
        <v>8</v>
      </c>
    </row>
    <row r="5" spans="1:13">
      <c r="A5" s="54"/>
      <c r="B5" s="54"/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54"/>
      <c r="I5" s="1">
        <v>60</v>
      </c>
      <c r="J5" s="1">
        <v>82</v>
      </c>
      <c r="K5" s="1">
        <v>100</v>
      </c>
      <c r="L5" s="1" t="s">
        <v>14</v>
      </c>
      <c r="M5" s="1">
        <v>12.7</v>
      </c>
    </row>
    <row r="6" spans="1:13" ht="21">
      <c r="A6" s="2" t="s">
        <v>15</v>
      </c>
      <c r="B6" s="2">
        <f t="shared" ref="B6:H6" si="0">B7</f>
        <v>1</v>
      </c>
      <c r="C6" s="2">
        <f t="shared" si="0"/>
        <v>1</v>
      </c>
      <c r="D6" s="2">
        <f t="shared" si="0"/>
        <v>1</v>
      </c>
      <c r="E6" s="2">
        <f t="shared" si="0"/>
        <v>0</v>
      </c>
      <c r="F6" s="2">
        <f t="shared" si="0"/>
        <v>0</v>
      </c>
      <c r="G6" s="2">
        <f t="shared" si="0"/>
        <v>0</v>
      </c>
      <c r="H6" s="2">
        <f t="shared" si="0"/>
        <v>0</v>
      </c>
      <c r="I6" s="2">
        <f>I7</f>
        <v>0</v>
      </c>
      <c r="J6" s="2">
        <f t="shared" ref="J6:M6" si="1">J7</f>
        <v>0</v>
      </c>
      <c r="K6" s="2">
        <f t="shared" si="1"/>
        <v>0</v>
      </c>
      <c r="L6" s="2">
        <f t="shared" si="1"/>
        <v>0</v>
      </c>
      <c r="M6" s="2">
        <f t="shared" si="1"/>
        <v>0</v>
      </c>
    </row>
    <row r="7" spans="1:13">
      <c r="A7" s="3" t="s">
        <v>16</v>
      </c>
      <c r="B7" s="4">
        <v>1</v>
      </c>
      <c r="C7" s="4">
        <v>1</v>
      </c>
      <c r="D7" s="4">
        <v>1</v>
      </c>
      <c r="E7" s="4"/>
      <c r="F7" s="4"/>
      <c r="G7" s="4"/>
      <c r="H7" s="4"/>
      <c r="I7" s="4"/>
      <c r="J7" s="4"/>
      <c r="K7" s="4"/>
      <c r="L7" s="4"/>
      <c r="M7" s="4"/>
    </row>
    <row r="8" spans="1:13" ht="21">
      <c r="A8" s="2" t="s">
        <v>17</v>
      </c>
      <c r="B8" s="2">
        <f t="shared" ref="B8:M8" si="2">SUM(B9:B16)</f>
        <v>0</v>
      </c>
      <c r="C8" s="2">
        <f t="shared" si="2"/>
        <v>0</v>
      </c>
      <c r="D8" s="2">
        <f t="shared" si="2"/>
        <v>0</v>
      </c>
      <c r="E8" s="2">
        <f t="shared" si="2"/>
        <v>0</v>
      </c>
      <c r="F8" s="2">
        <f t="shared" si="2"/>
        <v>0</v>
      </c>
      <c r="G8" s="2">
        <f t="shared" si="2"/>
        <v>0</v>
      </c>
      <c r="H8" s="2">
        <f t="shared" si="2"/>
        <v>0</v>
      </c>
      <c r="I8" s="2">
        <f t="shared" si="2"/>
        <v>0</v>
      </c>
      <c r="J8" s="2">
        <f t="shared" si="2"/>
        <v>0</v>
      </c>
      <c r="K8" s="2">
        <f t="shared" si="2"/>
        <v>0</v>
      </c>
      <c r="L8" s="2">
        <f t="shared" si="2"/>
        <v>0</v>
      </c>
      <c r="M8" s="2">
        <f t="shared" si="2"/>
        <v>0</v>
      </c>
    </row>
    <row r="9" spans="1:13">
      <c r="A9" s="5" t="s">
        <v>18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>
      <c r="A10" s="5" t="s">
        <v>19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22.5">
      <c r="A11" s="5" t="s">
        <v>20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5" t="s">
        <v>21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6" t="s">
        <v>22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22.5">
      <c r="A14" s="6" t="s">
        <v>23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33.75">
      <c r="A15" s="6" t="s">
        <v>24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5" t="s">
        <v>25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s="8" t="s">
        <v>26</v>
      </c>
      <c r="B17" s="9">
        <f t="shared" ref="B17:M17" si="3">B7+B8</f>
        <v>1</v>
      </c>
      <c r="C17" s="9">
        <f t="shared" si="3"/>
        <v>1</v>
      </c>
      <c r="D17" s="9">
        <f t="shared" si="3"/>
        <v>1</v>
      </c>
      <c r="E17" s="9">
        <f t="shared" si="3"/>
        <v>0</v>
      </c>
      <c r="F17" s="9">
        <f t="shared" si="3"/>
        <v>0</v>
      </c>
      <c r="G17" s="9">
        <f t="shared" si="3"/>
        <v>0</v>
      </c>
      <c r="H17" s="9">
        <f t="shared" si="3"/>
        <v>0</v>
      </c>
      <c r="I17" s="9">
        <f t="shared" si="3"/>
        <v>0</v>
      </c>
      <c r="J17" s="9">
        <f t="shared" si="3"/>
        <v>0</v>
      </c>
      <c r="K17" s="9">
        <f t="shared" si="3"/>
        <v>0</v>
      </c>
      <c r="L17" s="9">
        <f t="shared" si="3"/>
        <v>0</v>
      </c>
      <c r="M17" s="9">
        <f t="shared" si="3"/>
        <v>0</v>
      </c>
    </row>
  </sheetData>
  <mergeCells count="7">
    <mergeCell ref="A1:M2"/>
    <mergeCell ref="A3:A5"/>
    <mergeCell ref="B3:B5"/>
    <mergeCell ref="C3:M3"/>
    <mergeCell ref="C4:G4"/>
    <mergeCell ref="H4:H5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6AEE-EEF3-41FC-9011-B3FA05A2337A}">
  <dimension ref="A1:M19"/>
  <sheetViews>
    <sheetView workbookViewId="0">
      <selection activeCell="N3" sqref="N3"/>
    </sheetView>
  </sheetViews>
  <sheetFormatPr defaultRowHeight="15"/>
  <sheetData>
    <row r="1" spans="1:13">
      <c r="A1" s="48" t="s">
        <v>27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</row>
    <row r="2" spans="1:13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3" spans="1:13">
      <c r="A3" s="54" t="s">
        <v>1</v>
      </c>
      <c r="B3" s="54" t="s">
        <v>2</v>
      </c>
      <c r="C3" s="54" t="s">
        <v>3</v>
      </c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>
      <c r="A4" s="54"/>
      <c r="B4" s="54"/>
      <c r="C4" s="54" t="s">
        <v>4</v>
      </c>
      <c r="D4" s="54"/>
      <c r="E4" s="54"/>
      <c r="F4" s="54"/>
      <c r="G4" s="54"/>
      <c r="H4" s="54" t="s">
        <v>5</v>
      </c>
      <c r="I4" s="54" t="s">
        <v>6</v>
      </c>
      <c r="J4" s="54"/>
      <c r="K4" s="54"/>
      <c r="L4" s="1" t="s">
        <v>7</v>
      </c>
      <c r="M4" s="1" t="s">
        <v>8</v>
      </c>
    </row>
    <row r="5" spans="1:13">
      <c r="A5" s="54"/>
      <c r="B5" s="54"/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54"/>
      <c r="I5" s="1">
        <v>60</v>
      </c>
      <c r="J5" s="1">
        <v>82</v>
      </c>
      <c r="K5" s="1">
        <v>100</v>
      </c>
      <c r="L5" s="1" t="s">
        <v>14</v>
      </c>
      <c r="M5" s="1">
        <v>12.7</v>
      </c>
    </row>
    <row r="6" spans="1:13" ht="21">
      <c r="A6" s="10" t="s">
        <v>15</v>
      </c>
      <c r="B6" s="11">
        <f>B7</f>
        <v>546</v>
      </c>
      <c r="C6" s="11">
        <f t="shared" ref="C6:M6" si="0">C7</f>
        <v>22</v>
      </c>
      <c r="D6" s="11">
        <f t="shared" si="0"/>
        <v>289</v>
      </c>
      <c r="E6" s="11">
        <f t="shared" si="0"/>
        <v>27</v>
      </c>
      <c r="F6" s="11">
        <f t="shared" si="0"/>
        <v>6</v>
      </c>
      <c r="G6" s="11">
        <f t="shared" si="0"/>
        <v>54</v>
      </c>
      <c r="H6" s="11">
        <f t="shared" si="0"/>
        <v>1444</v>
      </c>
      <c r="I6" s="11">
        <f t="shared" si="0"/>
        <v>6</v>
      </c>
      <c r="J6" s="11">
        <f t="shared" si="0"/>
        <v>4</v>
      </c>
      <c r="K6" s="11">
        <f t="shared" si="0"/>
        <v>0</v>
      </c>
      <c r="L6" s="11">
        <f t="shared" si="0"/>
        <v>3</v>
      </c>
      <c r="M6" s="11">
        <f t="shared" si="0"/>
        <v>3</v>
      </c>
    </row>
    <row r="7" spans="1:13">
      <c r="A7" s="12" t="s">
        <v>28</v>
      </c>
      <c r="B7" s="13">
        <v>546</v>
      </c>
      <c r="C7" s="13">
        <v>22</v>
      </c>
      <c r="D7" s="13">
        <v>289</v>
      </c>
      <c r="E7" s="13">
        <v>27</v>
      </c>
      <c r="F7" s="13">
        <v>6</v>
      </c>
      <c r="G7" s="13">
        <v>54</v>
      </c>
      <c r="H7" s="13">
        <v>1444</v>
      </c>
      <c r="I7" s="13">
        <v>6</v>
      </c>
      <c r="J7" s="13">
        <v>4</v>
      </c>
      <c r="K7" s="13">
        <v>0</v>
      </c>
      <c r="L7" s="13">
        <v>3</v>
      </c>
      <c r="M7" s="13">
        <v>3</v>
      </c>
    </row>
    <row r="8" spans="1:13" ht="21">
      <c r="A8" s="10" t="s">
        <v>29</v>
      </c>
      <c r="B8" s="11">
        <f>SUM(B9:B18)</f>
        <v>335</v>
      </c>
      <c r="C8" s="11">
        <f t="shared" ref="C8:M8" si="1">SUM(C9:C18)</f>
        <v>14</v>
      </c>
      <c r="D8" s="11">
        <f t="shared" si="1"/>
        <v>150</v>
      </c>
      <c r="E8" s="11">
        <f t="shared" si="1"/>
        <v>0</v>
      </c>
      <c r="F8" s="11">
        <f t="shared" si="1"/>
        <v>0</v>
      </c>
      <c r="G8" s="11">
        <f t="shared" si="1"/>
        <v>0</v>
      </c>
      <c r="H8" s="11">
        <f t="shared" si="1"/>
        <v>629</v>
      </c>
      <c r="I8" s="11">
        <f t="shared" si="1"/>
        <v>0</v>
      </c>
      <c r="J8" s="11">
        <f t="shared" si="1"/>
        <v>0</v>
      </c>
      <c r="K8" s="11">
        <f t="shared" si="1"/>
        <v>4</v>
      </c>
      <c r="L8" s="11">
        <f t="shared" si="1"/>
        <v>6</v>
      </c>
      <c r="M8" s="11">
        <f t="shared" si="1"/>
        <v>6</v>
      </c>
    </row>
    <row r="9" spans="1:13">
      <c r="A9" s="12" t="s">
        <v>30</v>
      </c>
      <c r="B9" s="13">
        <v>74</v>
      </c>
      <c r="C9" s="13">
        <v>4</v>
      </c>
      <c r="D9" s="13">
        <v>30</v>
      </c>
      <c r="E9" s="13"/>
      <c r="F9" s="13"/>
      <c r="G9" s="13"/>
      <c r="H9" s="13">
        <v>139</v>
      </c>
      <c r="I9" s="13"/>
      <c r="J9" s="13"/>
      <c r="K9" s="13">
        <v>4</v>
      </c>
      <c r="L9" s="13"/>
      <c r="M9" s="13"/>
    </row>
    <row r="10" spans="1:13">
      <c r="A10" s="12" t="s">
        <v>31</v>
      </c>
      <c r="B10" s="13">
        <v>69</v>
      </c>
      <c r="C10" s="13">
        <v>4</v>
      </c>
      <c r="D10" s="13">
        <v>26</v>
      </c>
      <c r="E10" s="13"/>
      <c r="F10" s="13"/>
      <c r="G10" s="13"/>
      <c r="H10" s="13">
        <v>130</v>
      </c>
      <c r="I10" s="13"/>
      <c r="J10" s="13"/>
      <c r="K10" s="13"/>
      <c r="L10" s="13">
        <v>6</v>
      </c>
      <c r="M10" s="13"/>
    </row>
    <row r="11" spans="1:13" ht="21">
      <c r="A11" s="12" t="s">
        <v>32</v>
      </c>
      <c r="B11" s="13">
        <v>82</v>
      </c>
      <c r="C11" s="13">
        <v>4</v>
      </c>
      <c r="D11" s="13">
        <v>26</v>
      </c>
      <c r="E11" s="13"/>
      <c r="F11" s="13"/>
      <c r="G11" s="13"/>
      <c r="H11" s="13">
        <v>156</v>
      </c>
      <c r="I11" s="13"/>
      <c r="J11" s="13"/>
      <c r="K11" s="13"/>
      <c r="L11" s="13"/>
      <c r="M11" s="13">
        <v>6</v>
      </c>
    </row>
    <row r="12" spans="1:13">
      <c r="A12" s="12" t="s">
        <v>33</v>
      </c>
      <c r="B12" s="13">
        <v>28</v>
      </c>
      <c r="C12" s="13"/>
      <c r="D12" s="13">
        <v>10</v>
      </c>
      <c r="E12" s="13"/>
      <c r="F12" s="13"/>
      <c r="G12" s="13"/>
      <c r="H12" s="13">
        <v>56</v>
      </c>
      <c r="I12" s="13"/>
      <c r="J12" s="13"/>
      <c r="K12" s="13"/>
      <c r="L12" s="13"/>
      <c r="M12" s="13"/>
    </row>
    <row r="13" spans="1:13">
      <c r="A13" s="14" t="s">
        <v>34</v>
      </c>
      <c r="B13" s="15">
        <v>3</v>
      </c>
      <c r="C13" s="15"/>
      <c r="D13" s="15">
        <v>0</v>
      </c>
      <c r="E13" s="15"/>
      <c r="F13" s="15"/>
      <c r="G13" s="15"/>
      <c r="H13" s="15">
        <v>0</v>
      </c>
      <c r="I13" s="15"/>
      <c r="J13" s="15"/>
      <c r="K13" s="15"/>
      <c r="L13" s="15"/>
      <c r="M13" s="15"/>
    </row>
    <row r="14" spans="1:13">
      <c r="A14" s="14" t="s">
        <v>35</v>
      </c>
      <c r="B14" s="15">
        <v>9</v>
      </c>
      <c r="C14" s="15"/>
      <c r="D14" s="15">
        <v>2</v>
      </c>
      <c r="E14" s="15"/>
      <c r="F14" s="15"/>
      <c r="G14" s="15"/>
      <c r="H14" s="15">
        <v>8</v>
      </c>
      <c r="I14" s="15"/>
      <c r="J14" s="15"/>
      <c r="K14" s="15"/>
      <c r="L14" s="15"/>
      <c r="M14" s="15"/>
    </row>
    <row r="15" spans="1:13">
      <c r="A15" s="14" t="s">
        <v>36</v>
      </c>
      <c r="B15" s="15">
        <v>26</v>
      </c>
      <c r="C15" s="15">
        <v>2</v>
      </c>
      <c r="D15" s="15">
        <v>24</v>
      </c>
      <c r="E15" s="15"/>
      <c r="F15" s="15"/>
      <c r="G15" s="15"/>
      <c r="H15" s="15">
        <v>52</v>
      </c>
      <c r="I15" s="15"/>
      <c r="J15" s="15"/>
      <c r="K15" s="15"/>
      <c r="L15" s="15"/>
      <c r="M15" s="15"/>
    </row>
    <row r="16" spans="1:13">
      <c r="A16" s="12" t="s">
        <v>37</v>
      </c>
      <c r="B16" s="13">
        <v>32</v>
      </c>
      <c r="C16" s="13"/>
      <c r="D16" s="13">
        <v>22</v>
      </c>
      <c r="E16" s="13"/>
      <c r="F16" s="13"/>
      <c r="G16" s="13"/>
      <c r="H16" s="13">
        <v>64</v>
      </c>
      <c r="I16" s="13"/>
      <c r="J16" s="13"/>
      <c r="K16" s="13"/>
      <c r="L16" s="13"/>
      <c r="M16" s="13"/>
    </row>
    <row r="17" spans="1:13">
      <c r="A17" s="16" t="s">
        <v>38</v>
      </c>
      <c r="B17" s="17">
        <v>3</v>
      </c>
      <c r="C17" s="17"/>
      <c r="D17" s="17">
        <v>1</v>
      </c>
      <c r="E17" s="17"/>
      <c r="F17" s="17"/>
      <c r="G17" s="17"/>
      <c r="H17" s="17">
        <v>6</v>
      </c>
      <c r="I17" s="17"/>
      <c r="J17" s="17"/>
      <c r="K17" s="17"/>
      <c r="L17" s="17"/>
      <c r="M17" s="17"/>
    </row>
    <row r="18" spans="1:13">
      <c r="A18" s="18" t="s">
        <v>39</v>
      </c>
      <c r="B18" s="19">
        <v>9</v>
      </c>
      <c r="C18" s="19"/>
      <c r="D18" s="19">
        <v>9</v>
      </c>
      <c r="E18" s="19"/>
      <c r="F18" s="19"/>
      <c r="G18" s="19"/>
      <c r="H18" s="19">
        <v>18</v>
      </c>
      <c r="I18" s="19"/>
      <c r="J18" s="19"/>
      <c r="K18" s="19"/>
      <c r="L18" s="19"/>
      <c r="M18" s="19"/>
    </row>
    <row r="19" spans="1:13">
      <c r="A19" s="20" t="s">
        <v>26</v>
      </c>
      <c r="B19" s="21">
        <f>B6+B8</f>
        <v>881</v>
      </c>
      <c r="C19" s="21">
        <f t="shared" ref="C19:M19" si="2">C6+C8</f>
        <v>36</v>
      </c>
      <c r="D19" s="21">
        <f t="shared" si="2"/>
        <v>439</v>
      </c>
      <c r="E19" s="21">
        <f t="shared" si="2"/>
        <v>27</v>
      </c>
      <c r="F19" s="21">
        <f t="shared" si="2"/>
        <v>6</v>
      </c>
      <c r="G19" s="21">
        <f t="shared" si="2"/>
        <v>54</v>
      </c>
      <c r="H19" s="21">
        <f t="shared" si="2"/>
        <v>2073</v>
      </c>
      <c r="I19" s="21">
        <f t="shared" si="2"/>
        <v>6</v>
      </c>
      <c r="J19" s="21">
        <f t="shared" si="2"/>
        <v>4</v>
      </c>
      <c r="K19" s="21">
        <f t="shared" si="2"/>
        <v>4</v>
      </c>
      <c r="L19" s="21">
        <f t="shared" si="2"/>
        <v>9</v>
      </c>
      <c r="M19" s="21">
        <f t="shared" si="2"/>
        <v>9</v>
      </c>
    </row>
  </sheetData>
  <mergeCells count="7">
    <mergeCell ref="A1:M2"/>
    <mergeCell ref="A3:A5"/>
    <mergeCell ref="B3:B5"/>
    <mergeCell ref="C3:M3"/>
    <mergeCell ref="C4:G4"/>
    <mergeCell ref="H4:H5"/>
    <mergeCell ref="I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6F2A-F3DA-482E-A27C-72512E35A6E7}">
  <dimension ref="A1:I7"/>
  <sheetViews>
    <sheetView workbookViewId="0">
      <selection activeCell="J18" sqref="J18"/>
    </sheetView>
  </sheetViews>
  <sheetFormatPr defaultRowHeight="15"/>
  <sheetData>
    <row r="1" spans="1:9">
      <c r="A1" s="55" t="s">
        <v>47</v>
      </c>
      <c r="B1" s="57" t="s">
        <v>46</v>
      </c>
      <c r="C1" s="57" t="s">
        <v>40</v>
      </c>
      <c r="D1" s="59" t="s">
        <v>42</v>
      </c>
      <c r="E1" s="60"/>
      <c r="F1" s="61"/>
      <c r="G1" s="62" t="s">
        <v>48</v>
      </c>
      <c r="H1" s="63"/>
      <c r="I1" s="64"/>
    </row>
    <row r="2" spans="1:9">
      <c r="A2" s="56"/>
      <c r="B2" s="58"/>
      <c r="C2" s="58"/>
      <c r="D2" s="24" t="s">
        <v>49</v>
      </c>
      <c r="E2" s="24" t="s">
        <v>50</v>
      </c>
      <c r="F2" s="24" t="s">
        <v>43</v>
      </c>
      <c r="G2" s="26" t="s">
        <v>49</v>
      </c>
      <c r="H2" s="26" t="s">
        <v>50</v>
      </c>
      <c r="I2" s="26" t="s">
        <v>43</v>
      </c>
    </row>
    <row r="3" spans="1:9">
      <c r="A3" s="22">
        <v>1</v>
      </c>
      <c r="B3" s="24"/>
      <c r="C3" s="23"/>
      <c r="D3" s="25"/>
      <c r="E3" s="25"/>
      <c r="F3" s="25"/>
      <c r="G3" s="22"/>
      <c r="H3" s="22"/>
      <c r="I3" s="22"/>
    </row>
    <row r="4" spans="1:9">
      <c r="A4" s="22">
        <v>2</v>
      </c>
      <c r="B4" s="24"/>
      <c r="C4" s="23"/>
      <c r="D4" s="25"/>
      <c r="E4" s="25"/>
      <c r="F4" s="25"/>
      <c r="G4" s="22"/>
      <c r="H4" s="22"/>
      <c r="I4" s="22"/>
    </row>
    <row r="5" spans="1:9">
      <c r="A5" s="22">
        <v>3</v>
      </c>
      <c r="B5" s="24"/>
      <c r="C5" s="23"/>
      <c r="D5" s="25"/>
      <c r="E5" s="25"/>
      <c r="F5" s="25"/>
      <c r="G5" s="22"/>
      <c r="H5" s="22"/>
      <c r="I5" s="22"/>
    </row>
    <row r="6" spans="1:9">
      <c r="A6" s="22">
        <v>4</v>
      </c>
      <c r="B6" s="24"/>
      <c r="C6" s="23"/>
      <c r="D6" s="25"/>
      <c r="E6" s="25"/>
      <c r="F6" s="25"/>
      <c r="G6" s="22"/>
      <c r="H6" s="22"/>
      <c r="I6" s="22"/>
    </row>
    <row r="7" spans="1:9">
      <c r="A7" s="22">
        <v>5</v>
      </c>
      <c r="B7" s="24"/>
      <c r="C7" s="23"/>
      <c r="D7" s="25"/>
      <c r="E7" s="25"/>
      <c r="F7" s="25"/>
      <c r="G7" s="22"/>
      <c r="H7" s="22"/>
      <c r="I7" s="22"/>
    </row>
  </sheetData>
  <mergeCells count="5">
    <mergeCell ref="A1:A2"/>
    <mergeCell ref="B1:B2"/>
    <mergeCell ref="C1:C2"/>
    <mergeCell ref="D1:F1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F06B-A044-4E5A-A947-A016657D51E8}">
  <dimension ref="A1:M16"/>
  <sheetViews>
    <sheetView workbookViewId="0">
      <selection activeCell="M40" sqref="M40"/>
    </sheetView>
  </sheetViews>
  <sheetFormatPr defaultRowHeight="15"/>
  <cols>
    <col min="2" max="2" width="17" customWidth="1"/>
  </cols>
  <sheetData>
    <row r="1" spans="1:13">
      <c r="A1" s="65" t="s">
        <v>47</v>
      </c>
      <c r="B1" s="65" t="s">
        <v>51</v>
      </c>
      <c r="C1" s="76" t="s">
        <v>52</v>
      </c>
      <c r="D1" s="77"/>
      <c r="E1" s="77"/>
      <c r="F1" s="78"/>
      <c r="G1" s="76" t="s">
        <v>53</v>
      </c>
      <c r="H1" s="77"/>
      <c r="I1" s="78"/>
      <c r="J1" s="76" t="s">
        <v>54</v>
      </c>
      <c r="K1" s="77"/>
      <c r="L1" s="77"/>
      <c r="M1" s="78"/>
    </row>
    <row r="2" spans="1:13" ht="14.65" customHeight="1">
      <c r="A2" s="66"/>
      <c r="B2" s="66"/>
      <c r="C2" s="65" t="s">
        <v>55</v>
      </c>
      <c r="D2" s="65" t="s">
        <v>56</v>
      </c>
      <c r="E2" s="65" t="s">
        <v>57</v>
      </c>
      <c r="F2" s="65" t="s">
        <v>43</v>
      </c>
      <c r="G2" s="65" t="s">
        <v>58</v>
      </c>
      <c r="H2" s="65" t="s">
        <v>59</v>
      </c>
      <c r="I2" s="65" t="s">
        <v>60</v>
      </c>
      <c r="J2" s="68" t="s">
        <v>61</v>
      </c>
      <c r="K2" s="69"/>
      <c r="L2" s="72" t="s">
        <v>62</v>
      </c>
      <c r="M2" s="73"/>
    </row>
    <row r="3" spans="1:13">
      <c r="A3" s="66"/>
      <c r="B3" s="66"/>
      <c r="C3" s="66"/>
      <c r="D3" s="66"/>
      <c r="E3" s="66"/>
      <c r="F3" s="66"/>
      <c r="G3" s="66"/>
      <c r="H3" s="66"/>
      <c r="I3" s="66"/>
      <c r="J3" s="70"/>
      <c r="K3" s="71"/>
      <c r="L3" s="74"/>
      <c r="M3" s="75"/>
    </row>
    <row r="4" spans="1:13">
      <c r="A4" s="67"/>
      <c r="B4" s="67"/>
      <c r="C4" s="67"/>
      <c r="D4" s="67"/>
      <c r="E4" s="67"/>
      <c r="F4" s="67"/>
      <c r="G4" s="67"/>
      <c r="H4" s="67"/>
      <c r="I4" s="67"/>
      <c r="J4" s="27" t="s">
        <v>63</v>
      </c>
      <c r="K4" s="27" t="s">
        <v>64</v>
      </c>
      <c r="L4" s="27" t="s">
        <v>63</v>
      </c>
      <c r="M4" s="27" t="s">
        <v>64</v>
      </c>
    </row>
    <row r="5" spans="1:13">
      <c r="A5" s="27">
        <v>1</v>
      </c>
      <c r="B5" s="29" t="s">
        <v>65</v>
      </c>
      <c r="C5" s="27">
        <f>SUM(C6:C12)</f>
        <v>2</v>
      </c>
      <c r="D5" s="27">
        <f>SUM(D6:D12)</f>
        <v>5</v>
      </c>
      <c r="E5" s="27">
        <f>SUM(E6:E12)</f>
        <v>54</v>
      </c>
      <c r="F5" s="27">
        <f>SUM(F6:F12)</f>
        <v>61</v>
      </c>
      <c r="G5" s="27"/>
      <c r="H5" s="27"/>
      <c r="I5" s="27"/>
      <c r="J5" s="27"/>
      <c r="K5" s="27"/>
      <c r="L5" s="27"/>
      <c r="M5" s="27"/>
    </row>
    <row r="6" spans="1:13">
      <c r="A6" s="27" t="s">
        <v>66</v>
      </c>
      <c r="B6" s="30" t="s">
        <v>67</v>
      </c>
      <c r="C6" s="27">
        <v>1</v>
      </c>
      <c r="D6" s="27"/>
      <c r="E6" s="27"/>
      <c r="F6" s="27">
        <f t="shared" ref="F6:F10" si="0">SUM(C6:E6)</f>
        <v>1</v>
      </c>
      <c r="G6" s="27"/>
      <c r="H6" s="27"/>
      <c r="I6" s="27"/>
      <c r="J6" s="27"/>
      <c r="K6" s="27"/>
      <c r="L6" s="27"/>
      <c r="M6" s="27"/>
    </row>
    <row r="7" spans="1:13">
      <c r="A7" s="27" t="s">
        <v>66</v>
      </c>
      <c r="B7" s="30" t="s">
        <v>68</v>
      </c>
      <c r="C7" s="27"/>
      <c r="D7" s="27">
        <v>1</v>
      </c>
      <c r="E7" s="27"/>
      <c r="F7" s="27">
        <f t="shared" si="0"/>
        <v>1</v>
      </c>
      <c r="G7" s="27"/>
      <c r="H7" s="27"/>
      <c r="I7" s="27"/>
      <c r="J7" s="27"/>
      <c r="K7" s="27"/>
      <c r="L7" s="27"/>
      <c r="M7" s="27"/>
    </row>
    <row r="8" spans="1:13">
      <c r="A8" s="27" t="s">
        <v>66</v>
      </c>
      <c r="B8" s="31" t="s">
        <v>69</v>
      </c>
      <c r="C8" s="27"/>
      <c r="D8" s="27">
        <v>1</v>
      </c>
      <c r="E8" s="27"/>
      <c r="F8" s="27">
        <f t="shared" si="0"/>
        <v>1</v>
      </c>
      <c r="G8" s="27"/>
      <c r="H8" s="27"/>
      <c r="I8" s="27"/>
      <c r="J8" s="27"/>
      <c r="K8" s="27"/>
      <c r="L8" s="27"/>
      <c r="M8" s="27"/>
    </row>
    <row r="9" spans="1:13">
      <c r="A9" s="27" t="s">
        <v>66</v>
      </c>
      <c r="B9" s="30" t="s">
        <v>70</v>
      </c>
      <c r="C9" s="27"/>
      <c r="D9" s="27">
        <v>1</v>
      </c>
      <c r="E9" s="27"/>
      <c r="F9" s="27">
        <f t="shared" si="0"/>
        <v>1</v>
      </c>
      <c r="G9" s="27"/>
      <c r="H9" s="27"/>
      <c r="I9" s="27"/>
      <c r="J9" s="27"/>
      <c r="K9" s="27"/>
      <c r="L9" s="27"/>
      <c r="M9" s="27"/>
    </row>
    <row r="10" spans="1:13">
      <c r="A10" s="27" t="s">
        <v>66</v>
      </c>
      <c r="B10" s="30" t="s">
        <v>71</v>
      </c>
      <c r="C10" s="27"/>
      <c r="D10" s="27">
        <v>1</v>
      </c>
      <c r="E10" s="27">
        <v>2</v>
      </c>
      <c r="F10" s="27">
        <f t="shared" si="0"/>
        <v>3</v>
      </c>
      <c r="G10" s="27"/>
      <c r="H10" s="27"/>
      <c r="I10" s="27"/>
      <c r="J10" s="27"/>
      <c r="K10" s="27"/>
      <c r="L10" s="27"/>
      <c r="M10" s="27"/>
    </row>
    <row r="11" spans="1:13">
      <c r="A11" s="27" t="s">
        <v>66</v>
      </c>
      <c r="B11" s="30" t="s">
        <v>72</v>
      </c>
      <c r="C11" s="27">
        <v>1</v>
      </c>
      <c r="D11" s="27"/>
      <c r="E11" s="27">
        <v>27</v>
      </c>
      <c r="F11" s="27">
        <f>SUM(C11:E11)</f>
        <v>28</v>
      </c>
      <c r="G11" s="27"/>
      <c r="H11" s="27"/>
      <c r="I11" s="27"/>
      <c r="J11" s="27"/>
      <c r="K11" s="27"/>
      <c r="L11" s="27"/>
      <c r="M11" s="27"/>
    </row>
    <row r="12" spans="1:13">
      <c r="A12" s="32" t="s">
        <v>66</v>
      </c>
      <c r="B12" s="33" t="s">
        <v>73</v>
      </c>
      <c r="C12" s="34"/>
      <c r="D12" s="34">
        <v>1</v>
      </c>
      <c r="E12" s="34">
        <v>25</v>
      </c>
      <c r="F12" s="27">
        <f>SUM(C12:E12)</f>
        <v>26</v>
      </c>
      <c r="G12" s="34"/>
      <c r="H12" s="34"/>
      <c r="I12" s="34"/>
      <c r="J12" s="34"/>
      <c r="K12" s="34"/>
      <c r="L12" s="34"/>
      <c r="M12" s="34"/>
    </row>
    <row r="13" spans="1:13">
      <c r="A13" s="27">
        <v>2</v>
      </c>
      <c r="B13" s="35" t="s">
        <v>74</v>
      </c>
      <c r="C13" s="27">
        <f>C14+C15+C16</f>
        <v>1</v>
      </c>
      <c r="D13" s="27">
        <f>D14+D15+D16</f>
        <v>4</v>
      </c>
      <c r="E13" s="27">
        <f>E14+E15+E16</f>
        <v>29</v>
      </c>
      <c r="F13" s="27">
        <f>F14+F15+F16</f>
        <v>34</v>
      </c>
      <c r="G13" s="35"/>
      <c r="H13" s="35"/>
      <c r="I13" s="35"/>
      <c r="J13" s="35"/>
      <c r="K13" s="35"/>
      <c r="L13" s="35"/>
      <c r="M13" s="35"/>
    </row>
    <row r="14" spans="1:13">
      <c r="A14" s="27" t="s">
        <v>66</v>
      </c>
      <c r="B14" s="30" t="s">
        <v>75</v>
      </c>
      <c r="C14" s="27"/>
      <c r="D14" s="27">
        <v>1</v>
      </c>
      <c r="E14" s="27">
        <v>2</v>
      </c>
      <c r="F14" s="27">
        <f>SUM(C14:E14)</f>
        <v>3</v>
      </c>
      <c r="G14" s="35"/>
      <c r="H14" s="35"/>
      <c r="I14" s="35"/>
      <c r="J14" s="35"/>
      <c r="K14" s="35"/>
      <c r="L14" s="35"/>
      <c r="M14" s="35"/>
    </row>
    <row r="15" spans="1:13">
      <c r="A15" s="27" t="s">
        <v>66</v>
      </c>
      <c r="B15" s="36" t="s">
        <v>76</v>
      </c>
      <c r="C15" s="37">
        <v>1</v>
      </c>
      <c r="D15" s="37"/>
      <c r="E15" s="37">
        <v>27</v>
      </c>
      <c r="F15" s="27">
        <f>SUM(C15:E15)</f>
        <v>28</v>
      </c>
      <c r="G15" s="28"/>
      <c r="H15" s="28"/>
      <c r="I15" s="28"/>
      <c r="J15" s="28"/>
      <c r="K15" s="28"/>
      <c r="L15" s="28"/>
      <c r="M15" s="28"/>
    </row>
    <row r="16" spans="1:13">
      <c r="A16" s="37" t="s">
        <v>66</v>
      </c>
      <c r="B16" s="38" t="s">
        <v>77</v>
      </c>
      <c r="C16" s="37"/>
      <c r="D16" s="37">
        <v>3</v>
      </c>
      <c r="E16" s="37"/>
      <c r="F16" s="27">
        <f>SUM(C16:E16)</f>
        <v>3</v>
      </c>
      <c r="G16" s="28"/>
      <c r="H16" s="28"/>
      <c r="I16" s="28"/>
      <c r="J16" s="28"/>
      <c r="K16" s="28"/>
      <c r="L16" s="28"/>
      <c r="M16" s="28"/>
    </row>
  </sheetData>
  <mergeCells count="14">
    <mergeCell ref="H2:H4"/>
    <mergeCell ref="I2:I4"/>
    <mergeCell ref="J2:K3"/>
    <mergeCell ref="L2:M3"/>
    <mergeCell ref="A1:A4"/>
    <mergeCell ref="B1:B4"/>
    <mergeCell ref="C1:F1"/>
    <mergeCell ref="G1:I1"/>
    <mergeCell ref="J1:M1"/>
    <mergeCell ref="C2:C4"/>
    <mergeCell ref="D2:D4"/>
    <mergeCell ref="E2:E4"/>
    <mergeCell ref="F2:F4"/>
    <mergeCell ref="G2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AE9D4-FB38-46C6-8D37-C5F70CA4A32D}">
  <dimension ref="A1:M57"/>
  <sheetViews>
    <sheetView tabSelected="1" topLeftCell="A37" zoomScaleNormal="100" workbookViewId="0">
      <selection activeCell="R58" sqref="R58"/>
    </sheetView>
  </sheetViews>
  <sheetFormatPr defaultColWidth="7.85546875" defaultRowHeight="15"/>
  <cols>
    <col min="1" max="1" width="11" customWidth="1"/>
    <col min="2" max="2" width="17" bestFit="1" customWidth="1"/>
    <col min="3" max="3" width="11.28515625" bestFit="1" customWidth="1"/>
    <col min="4" max="4" width="8.5703125" bestFit="1" customWidth="1"/>
    <col min="5" max="6" width="6.5703125" bestFit="1" customWidth="1"/>
    <col min="7" max="7" width="7.140625" customWidth="1"/>
    <col min="8" max="8" width="9.5703125" bestFit="1" customWidth="1"/>
    <col min="9" max="9" width="8.140625" customWidth="1"/>
    <col min="10" max="10" width="6.28515625" bestFit="1" customWidth="1"/>
    <col min="11" max="11" width="7.28515625" bestFit="1" customWidth="1"/>
    <col min="12" max="12" width="7.7109375" bestFit="1" customWidth="1"/>
    <col min="13" max="13" width="7.140625" bestFit="1" customWidth="1"/>
  </cols>
  <sheetData>
    <row r="1" spans="1:13" ht="16.5" thickBot="1">
      <c r="A1" s="85" t="s">
        <v>50</v>
      </c>
      <c r="B1" s="85" t="s">
        <v>78</v>
      </c>
      <c r="C1" s="85" t="s">
        <v>79</v>
      </c>
      <c r="D1" s="85" t="s">
        <v>80</v>
      </c>
      <c r="E1" s="79" t="s">
        <v>41</v>
      </c>
      <c r="F1" s="80"/>
      <c r="G1" s="80"/>
      <c r="H1" s="81"/>
      <c r="I1" s="85" t="s">
        <v>81</v>
      </c>
      <c r="J1" s="79" t="s">
        <v>82</v>
      </c>
      <c r="K1" s="80"/>
      <c r="L1" s="80"/>
      <c r="M1" s="81"/>
    </row>
    <row r="2" spans="1:13" ht="48" thickBot="1">
      <c r="A2" s="86"/>
      <c r="B2" s="86"/>
      <c r="C2" s="86"/>
      <c r="D2" s="86"/>
      <c r="E2" s="39" t="s">
        <v>83</v>
      </c>
      <c r="F2" s="39" t="s">
        <v>44</v>
      </c>
      <c r="G2" s="39" t="s">
        <v>84</v>
      </c>
      <c r="H2" s="39" t="s">
        <v>85</v>
      </c>
      <c r="I2" s="86"/>
      <c r="J2" s="39" t="s">
        <v>86</v>
      </c>
      <c r="K2" s="39" t="s">
        <v>87</v>
      </c>
      <c r="L2" s="39" t="s">
        <v>88</v>
      </c>
      <c r="M2" s="39" t="s">
        <v>89</v>
      </c>
    </row>
    <row r="3" spans="1:13" ht="38.25" thickBot="1">
      <c r="A3" s="82" t="s">
        <v>90</v>
      </c>
      <c r="B3" s="40" t="s">
        <v>91</v>
      </c>
      <c r="C3" s="41" t="s">
        <v>45</v>
      </c>
      <c r="D3" s="41"/>
      <c r="E3" s="42">
        <v>0</v>
      </c>
      <c r="F3" s="42">
        <v>0</v>
      </c>
      <c r="G3" s="41" t="str">
        <f>IF(OR(D3=0,E3=0),"-",E3/D3)</f>
        <v>-</v>
      </c>
      <c r="H3" s="41" t="str">
        <f>IF(OR(E3=0, F3=0),"-",F3/E3)</f>
        <v>-</v>
      </c>
      <c r="I3" s="41">
        <f>D3</f>
        <v>0</v>
      </c>
      <c r="J3" s="41">
        <f>D3-E3</f>
        <v>0</v>
      </c>
      <c r="K3" s="43"/>
      <c r="L3" s="43"/>
      <c r="M3" s="43"/>
    </row>
    <row r="4" spans="1:13" ht="19.5" thickBot="1">
      <c r="A4" s="83"/>
      <c r="B4" s="44" t="s">
        <v>92</v>
      </c>
      <c r="C4" s="41" t="s">
        <v>45</v>
      </c>
      <c r="D4" s="45"/>
      <c r="E4" s="42">
        <v>4</v>
      </c>
      <c r="F4" s="42">
        <v>4</v>
      </c>
      <c r="G4" s="41" t="str">
        <f t="shared" ref="G4:G57" si="0">IF(OR(D4=0,E4=0),"-",E4/D4)</f>
        <v>-</v>
      </c>
      <c r="H4" s="41">
        <f t="shared" ref="H4:H57" si="1">IF(OR(E4=0, F4=0),"-",F4/E4)</f>
        <v>1</v>
      </c>
      <c r="I4" s="41">
        <f t="shared" ref="I4:I57" si="2">D4</f>
        <v>0</v>
      </c>
      <c r="J4" s="41">
        <f t="shared" ref="J4:J57" si="3">D4-E4</f>
        <v>-4</v>
      </c>
      <c r="K4" s="43"/>
      <c r="L4" s="43"/>
      <c r="M4" s="43"/>
    </row>
    <row r="5" spans="1:13" ht="19.5" thickBot="1">
      <c r="A5" s="83"/>
      <c r="B5" s="44" t="s">
        <v>93</v>
      </c>
      <c r="C5" s="41" t="s">
        <v>45</v>
      </c>
      <c r="D5" s="45"/>
      <c r="E5" s="42">
        <v>4</v>
      </c>
      <c r="F5" s="42">
        <v>4</v>
      </c>
      <c r="G5" s="41" t="str">
        <f t="shared" si="0"/>
        <v>-</v>
      </c>
      <c r="H5" s="41">
        <f t="shared" si="1"/>
        <v>1</v>
      </c>
      <c r="I5" s="41">
        <f t="shared" si="2"/>
        <v>0</v>
      </c>
      <c r="J5" s="41">
        <f>D5-E5</f>
        <v>-4</v>
      </c>
      <c r="K5" s="43"/>
      <c r="L5" s="43"/>
      <c r="M5" s="43"/>
    </row>
    <row r="6" spans="1:13" ht="19.5" thickBot="1">
      <c r="A6" s="83"/>
      <c r="B6" s="44" t="s">
        <v>94</v>
      </c>
      <c r="C6" s="41" t="s">
        <v>45</v>
      </c>
      <c r="D6" s="45"/>
      <c r="E6" s="42">
        <v>6</v>
      </c>
      <c r="F6" s="42">
        <v>6</v>
      </c>
      <c r="G6" s="41" t="str">
        <f t="shared" si="0"/>
        <v>-</v>
      </c>
      <c r="H6" s="41">
        <f t="shared" si="1"/>
        <v>1</v>
      </c>
      <c r="I6" s="41">
        <f t="shared" si="2"/>
        <v>0</v>
      </c>
      <c r="J6" s="41">
        <f t="shared" si="3"/>
        <v>-6</v>
      </c>
      <c r="K6" s="43"/>
      <c r="L6" s="43"/>
      <c r="M6" s="43"/>
    </row>
    <row r="7" spans="1:13" ht="19.5" thickBot="1">
      <c r="A7" s="83"/>
      <c r="B7" s="44" t="s">
        <v>95</v>
      </c>
      <c r="C7" s="41" t="s">
        <v>45</v>
      </c>
      <c r="D7" s="45"/>
      <c r="E7" s="42">
        <v>9</v>
      </c>
      <c r="F7" s="42">
        <v>9</v>
      </c>
      <c r="G7" s="41" t="str">
        <f t="shared" si="0"/>
        <v>-</v>
      </c>
      <c r="H7" s="41">
        <f t="shared" si="1"/>
        <v>1</v>
      </c>
      <c r="I7" s="41">
        <f t="shared" si="2"/>
        <v>0</v>
      </c>
      <c r="J7" s="41">
        <f t="shared" si="3"/>
        <v>-9</v>
      </c>
      <c r="K7" s="43"/>
      <c r="L7" s="43"/>
      <c r="M7" s="43"/>
    </row>
    <row r="8" spans="1:13" ht="38.25" thickBot="1">
      <c r="A8" s="83"/>
      <c r="B8" s="44" t="s">
        <v>96</v>
      </c>
      <c r="C8" s="41" t="s">
        <v>45</v>
      </c>
      <c r="D8" s="45"/>
      <c r="E8" s="42">
        <v>54</v>
      </c>
      <c r="F8" s="42">
        <v>54</v>
      </c>
      <c r="G8" s="41" t="str">
        <f t="shared" si="0"/>
        <v>-</v>
      </c>
      <c r="H8" s="41">
        <f t="shared" si="1"/>
        <v>1</v>
      </c>
      <c r="I8" s="41">
        <f t="shared" si="2"/>
        <v>0</v>
      </c>
      <c r="J8" s="41">
        <f t="shared" si="3"/>
        <v>-54</v>
      </c>
      <c r="K8" s="43" t="s">
        <v>97</v>
      </c>
      <c r="L8" s="43" t="s">
        <v>98</v>
      </c>
      <c r="M8" s="43" t="s">
        <v>99</v>
      </c>
    </row>
    <row r="9" spans="1:13" ht="19.5" thickBot="1">
      <c r="A9" s="83"/>
      <c r="B9" s="44" t="s">
        <v>100</v>
      </c>
      <c r="C9" s="41" t="s">
        <v>45</v>
      </c>
      <c r="D9" s="45"/>
      <c r="E9" s="42">
        <v>6</v>
      </c>
      <c r="F9" s="42">
        <v>6</v>
      </c>
      <c r="G9" s="41" t="str">
        <f t="shared" si="0"/>
        <v>-</v>
      </c>
      <c r="H9" s="41">
        <f t="shared" si="1"/>
        <v>1</v>
      </c>
      <c r="I9" s="41">
        <f t="shared" si="2"/>
        <v>0</v>
      </c>
      <c r="J9" s="41">
        <f t="shared" si="3"/>
        <v>-6</v>
      </c>
      <c r="K9" s="43"/>
      <c r="L9" s="43"/>
      <c r="M9" s="43"/>
    </row>
    <row r="10" spans="1:13" ht="19.5" thickBot="1">
      <c r="A10" s="83"/>
      <c r="B10" s="44" t="s">
        <v>101</v>
      </c>
      <c r="C10" s="41" t="s">
        <v>45</v>
      </c>
      <c r="D10" s="45"/>
      <c r="E10" s="42">
        <v>27</v>
      </c>
      <c r="F10" s="42">
        <v>27</v>
      </c>
      <c r="G10" s="41" t="str">
        <f t="shared" si="0"/>
        <v>-</v>
      </c>
      <c r="H10" s="41">
        <f t="shared" si="1"/>
        <v>1</v>
      </c>
      <c r="I10" s="41">
        <f t="shared" si="2"/>
        <v>0</v>
      </c>
      <c r="J10" s="41">
        <f t="shared" si="3"/>
        <v>-27</v>
      </c>
      <c r="K10" s="43"/>
      <c r="L10" s="43"/>
      <c r="M10" s="43"/>
    </row>
    <row r="11" spans="1:13" ht="38.25" thickBot="1">
      <c r="A11" s="83"/>
      <c r="B11" s="44" t="s">
        <v>102</v>
      </c>
      <c r="C11" s="41" t="s">
        <v>45</v>
      </c>
      <c r="D11" s="45"/>
      <c r="E11" s="42">
        <v>439</v>
      </c>
      <c r="F11" s="42">
        <v>439</v>
      </c>
      <c r="G11" s="41" t="str">
        <f t="shared" si="0"/>
        <v>-</v>
      </c>
      <c r="H11" s="41">
        <f t="shared" si="1"/>
        <v>1</v>
      </c>
      <c r="I11" s="41">
        <f t="shared" si="2"/>
        <v>0</v>
      </c>
      <c r="J11" s="41">
        <f t="shared" si="3"/>
        <v>-439</v>
      </c>
      <c r="K11" s="43" t="s">
        <v>97</v>
      </c>
      <c r="L11" s="43" t="s">
        <v>98</v>
      </c>
      <c r="M11" s="43" t="s">
        <v>99</v>
      </c>
    </row>
    <row r="12" spans="1:13" ht="19.5" thickBot="1">
      <c r="A12" s="83"/>
      <c r="B12" s="44" t="s">
        <v>103</v>
      </c>
      <c r="C12" s="41" t="s">
        <v>45</v>
      </c>
      <c r="D12" s="45"/>
      <c r="E12" s="42">
        <v>36</v>
      </c>
      <c r="F12" s="42">
        <v>36</v>
      </c>
      <c r="G12" s="41" t="str">
        <f t="shared" si="0"/>
        <v>-</v>
      </c>
      <c r="H12" s="41">
        <f t="shared" si="1"/>
        <v>1</v>
      </c>
      <c r="I12" s="41">
        <f t="shared" si="2"/>
        <v>0</v>
      </c>
      <c r="J12" s="41">
        <f t="shared" si="3"/>
        <v>-36</v>
      </c>
      <c r="K12" s="43"/>
      <c r="L12" s="43"/>
      <c r="M12" s="43"/>
    </row>
    <row r="13" spans="1:13" ht="19.5" thickBot="1">
      <c r="A13" s="84"/>
      <c r="B13" s="44" t="s">
        <v>5</v>
      </c>
      <c r="C13" s="41" t="s">
        <v>104</v>
      </c>
      <c r="D13" s="46"/>
      <c r="E13" s="47">
        <v>2073</v>
      </c>
      <c r="F13" s="47">
        <v>2073</v>
      </c>
      <c r="G13" s="41" t="str">
        <f t="shared" si="0"/>
        <v>-</v>
      </c>
      <c r="H13" s="41">
        <f t="shared" si="1"/>
        <v>1</v>
      </c>
      <c r="I13" s="41">
        <f t="shared" si="2"/>
        <v>0</v>
      </c>
      <c r="J13" s="41">
        <f t="shared" si="3"/>
        <v>-2073</v>
      </c>
      <c r="K13" s="43"/>
      <c r="L13" s="43"/>
      <c r="M13" s="43"/>
    </row>
    <row r="14" spans="1:13" ht="38.25" thickBot="1">
      <c r="A14" s="82" t="s">
        <v>105</v>
      </c>
      <c r="B14" s="40" t="s">
        <v>91</v>
      </c>
      <c r="C14" s="41" t="s">
        <v>45</v>
      </c>
      <c r="D14" s="41"/>
      <c r="E14" s="42">
        <v>3</v>
      </c>
      <c r="F14" s="42">
        <v>3</v>
      </c>
      <c r="G14" s="41" t="str">
        <f t="shared" si="0"/>
        <v>-</v>
      </c>
      <c r="H14" s="41">
        <f t="shared" si="1"/>
        <v>1</v>
      </c>
      <c r="I14" s="41">
        <f t="shared" si="2"/>
        <v>0</v>
      </c>
      <c r="J14" s="41">
        <f t="shared" si="3"/>
        <v>-3</v>
      </c>
      <c r="K14" s="43"/>
      <c r="L14" s="43"/>
      <c r="M14" s="43"/>
    </row>
    <row r="15" spans="1:13" ht="19.5" thickBot="1">
      <c r="A15" s="83"/>
      <c r="B15" s="44" t="s">
        <v>92</v>
      </c>
      <c r="C15" s="41" t="s">
        <v>45</v>
      </c>
      <c r="D15" s="45"/>
      <c r="E15" s="42">
        <v>0</v>
      </c>
      <c r="F15" s="42">
        <v>0</v>
      </c>
      <c r="G15" s="41" t="str">
        <f t="shared" si="0"/>
        <v>-</v>
      </c>
      <c r="H15" s="41" t="str">
        <f t="shared" si="1"/>
        <v>-</v>
      </c>
      <c r="I15" s="41">
        <f t="shared" si="2"/>
        <v>0</v>
      </c>
      <c r="J15" s="41">
        <f t="shared" si="3"/>
        <v>0</v>
      </c>
      <c r="K15" s="43"/>
      <c r="L15" s="43"/>
      <c r="M15" s="43"/>
    </row>
    <row r="16" spans="1:13" ht="19.5" thickBot="1">
      <c r="A16" s="83"/>
      <c r="B16" s="44" t="s">
        <v>93</v>
      </c>
      <c r="C16" s="41" t="s">
        <v>45</v>
      </c>
      <c r="D16" s="45"/>
      <c r="E16" s="42">
        <v>3</v>
      </c>
      <c r="F16" s="42">
        <v>3</v>
      </c>
      <c r="G16" s="41" t="str">
        <f t="shared" si="0"/>
        <v>-</v>
      </c>
      <c r="H16" s="41">
        <f t="shared" si="1"/>
        <v>1</v>
      </c>
      <c r="I16" s="41">
        <f t="shared" si="2"/>
        <v>0</v>
      </c>
      <c r="J16" s="41">
        <f t="shared" si="3"/>
        <v>-3</v>
      </c>
      <c r="K16" s="43"/>
      <c r="L16" s="43"/>
      <c r="M16" s="43"/>
    </row>
    <row r="17" spans="1:13" ht="19.5" thickBot="1">
      <c r="A17" s="83"/>
      <c r="B17" s="44" t="s">
        <v>94</v>
      </c>
      <c r="C17" s="41" t="s">
        <v>45</v>
      </c>
      <c r="D17" s="45"/>
      <c r="E17" s="42">
        <v>4</v>
      </c>
      <c r="F17" s="42">
        <v>4</v>
      </c>
      <c r="G17" s="41" t="str">
        <f t="shared" si="0"/>
        <v>-</v>
      </c>
      <c r="H17" s="41">
        <f t="shared" si="1"/>
        <v>1</v>
      </c>
      <c r="I17" s="41">
        <f t="shared" si="2"/>
        <v>0</v>
      </c>
      <c r="J17" s="41">
        <f t="shared" si="3"/>
        <v>-4</v>
      </c>
      <c r="K17" s="43"/>
      <c r="L17" s="43"/>
      <c r="M17" s="43"/>
    </row>
    <row r="18" spans="1:13" ht="38.25" thickBot="1">
      <c r="A18" s="83"/>
      <c r="B18" s="44" t="s">
        <v>95</v>
      </c>
      <c r="C18" s="41" t="s">
        <v>45</v>
      </c>
      <c r="D18" s="45"/>
      <c r="E18" s="42">
        <v>3</v>
      </c>
      <c r="F18" s="42">
        <v>3</v>
      </c>
      <c r="G18" s="41" t="str">
        <f t="shared" si="0"/>
        <v>-</v>
      </c>
      <c r="H18" s="41">
        <f t="shared" si="1"/>
        <v>1</v>
      </c>
      <c r="I18" s="41">
        <f t="shared" si="2"/>
        <v>0</v>
      </c>
      <c r="J18" s="41">
        <f t="shared" si="3"/>
        <v>-3</v>
      </c>
      <c r="K18" s="43" t="s">
        <v>97</v>
      </c>
      <c r="L18" s="43" t="s">
        <v>98</v>
      </c>
      <c r="M18" s="43" t="s">
        <v>99</v>
      </c>
    </row>
    <row r="19" spans="1:13" ht="19.5" thickBot="1">
      <c r="A19" s="83"/>
      <c r="B19" s="44" t="s">
        <v>96</v>
      </c>
      <c r="C19" s="41" t="s">
        <v>45</v>
      </c>
      <c r="D19" s="45"/>
      <c r="E19" s="42">
        <v>30</v>
      </c>
      <c r="F19" s="42">
        <v>30</v>
      </c>
      <c r="G19" s="41" t="str">
        <f t="shared" si="0"/>
        <v>-</v>
      </c>
      <c r="H19" s="41">
        <f t="shared" si="1"/>
        <v>1</v>
      </c>
      <c r="I19" s="41">
        <f t="shared" si="2"/>
        <v>0</v>
      </c>
      <c r="J19" s="41">
        <f t="shared" si="3"/>
        <v>-30</v>
      </c>
      <c r="K19" s="43"/>
      <c r="L19" s="43"/>
      <c r="M19" s="43"/>
    </row>
    <row r="20" spans="1:13" ht="19.5" thickBot="1">
      <c r="A20" s="83"/>
      <c r="B20" s="44" t="s">
        <v>100</v>
      </c>
      <c r="C20" s="41" t="s">
        <v>45</v>
      </c>
      <c r="D20" s="45"/>
      <c r="E20" s="42">
        <v>4</v>
      </c>
      <c r="F20" s="42">
        <v>4</v>
      </c>
      <c r="G20" s="41" t="str">
        <f t="shared" si="0"/>
        <v>-</v>
      </c>
      <c r="H20" s="41">
        <f t="shared" si="1"/>
        <v>1</v>
      </c>
      <c r="I20" s="41">
        <f t="shared" si="2"/>
        <v>0</v>
      </c>
      <c r="J20" s="41">
        <f t="shared" si="3"/>
        <v>-4</v>
      </c>
      <c r="K20" s="43"/>
      <c r="L20" s="43"/>
      <c r="M20" s="43"/>
    </row>
    <row r="21" spans="1:13" ht="38.25" thickBot="1">
      <c r="A21" s="83"/>
      <c r="B21" s="44" t="s">
        <v>101</v>
      </c>
      <c r="C21" s="41" t="s">
        <v>45</v>
      </c>
      <c r="D21" s="45"/>
      <c r="E21" s="42">
        <v>15</v>
      </c>
      <c r="F21" s="42">
        <v>15</v>
      </c>
      <c r="G21" s="41" t="str">
        <f t="shared" si="0"/>
        <v>-</v>
      </c>
      <c r="H21" s="41">
        <f t="shared" si="1"/>
        <v>1</v>
      </c>
      <c r="I21" s="41">
        <f t="shared" si="2"/>
        <v>0</v>
      </c>
      <c r="J21" s="41">
        <f t="shared" si="3"/>
        <v>-15</v>
      </c>
      <c r="K21" s="43" t="s">
        <v>97</v>
      </c>
      <c r="L21" s="43" t="s">
        <v>98</v>
      </c>
      <c r="M21" s="43" t="s">
        <v>99</v>
      </c>
    </row>
    <row r="22" spans="1:13" ht="19.5" thickBot="1">
      <c r="A22" s="83"/>
      <c r="B22" s="44" t="s">
        <v>102</v>
      </c>
      <c r="C22" s="41" t="s">
        <v>45</v>
      </c>
      <c r="D22" s="45"/>
      <c r="E22" s="42">
        <v>157</v>
      </c>
      <c r="F22" s="42">
        <v>157</v>
      </c>
      <c r="G22" s="41" t="str">
        <f t="shared" si="0"/>
        <v>-</v>
      </c>
      <c r="H22" s="41">
        <f t="shared" si="1"/>
        <v>1</v>
      </c>
      <c r="I22" s="41">
        <f t="shared" si="2"/>
        <v>0</v>
      </c>
      <c r="J22" s="41">
        <f t="shared" si="3"/>
        <v>-157</v>
      </c>
      <c r="K22" s="43"/>
      <c r="L22" s="43"/>
      <c r="M22" s="43"/>
    </row>
    <row r="23" spans="1:13" ht="19.5" thickBot="1">
      <c r="A23" s="83"/>
      <c r="B23" s="44" t="s">
        <v>103</v>
      </c>
      <c r="C23" s="41" t="s">
        <v>45</v>
      </c>
      <c r="D23" s="45"/>
      <c r="E23" s="42">
        <v>12</v>
      </c>
      <c r="F23" s="42">
        <v>12</v>
      </c>
      <c r="G23" s="41" t="str">
        <f t="shared" si="0"/>
        <v>-</v>
      </c>
      <c r="H23" s="41">
        <f t="shared" si="1"/>
        <v>1</v>
      </c>
      <c r="I23" s="41">
        <f t="shared" si="2"/>
        <v>0</v>
      </c>
      <c r="J23" s="41">
        <f t="shared" si="3"/>
        <v>-12</v>
      </c>
      <c r="K23" s="43"/>
      <c r="L23" s="43"/>
      <c r="M23" s="43"/>
    </row>
    <row r="24" spans="1:13" ht="19.5" thickBot="1">
      <c r="A24" s="84"/>
      <c r="B24" s="44" t="s">
        <v>5</v>
      </c>
      <c r="C24" s="41" t="s">
        <v>104</v>
      </c>
      <c r="D24" s="41"/>
      <c r="E24" s="42">
        <v>822</v>
      </c>
      <c r="F24" s="42">
        <v>822</v>
      </c>
      <c r="G24" s="41" t="str">
        <f t="shared" si="0"/>
        <v>-</v>
      </c>
      <c r="H24" s="41">
        <f t="shared" si="1"/>
        <v>1</v>
      </c>
      <c r="I24" s="41">
        <f t="shared" si="2"/>
        <v>0</v>
      </c>
      <c r="J24" s="41">
        <f t="shared" si="3"/>
        <v>-822</v>
      </c>
      <c r="K24" s="43"/>
      <c r="L24" s="43"/>
      <c r="M24" s="43"/>
    </row>
    <row r="25" spans="1:13" ht="38.25" thickBot="1">
      <c r="A25" s="82" t="s">
        <v>106</v>
      </c>
      <c r="B25" s="40" t="s">
        <v>91</v>
      </c>
      <c r="C25" s="41" t="s">
        <v>45</v>
      </c>
      <c r="D25" s="41"/>
      <c r="E25" s="42">
        <v>0</v>
      </c>
      <c r="F25" s="42">
        <v>0</v>
      </c>
      <c r="G25" s="41" t="str">
        <f t="shared" si="0"/>
        <v>-</v>
      </c>
      <c r="H25" s="41" t="str">
        <f t="shared" si="1"/>
        <v>-</v>
      </c>
      <c r="I25" s="41">
        <f t="shared" si="2"/>
        <v>0</v>
      </c>
      <c r="J25" s="41">
        <f t="shared" si="3"/>
        <v>0</v>
      </c>
      <c r="K25" s="43"/>
      <c r="L25" s="43"/>
      <c r="M25" s="43"/>
    </row>
    <row r="26" spans="1:13" ht="19.5" thickBot="1">
      <c r="A26" s="83"/>
      <c r="B26" s="44" t="s">
        <v>92</v>
      </c>
      <c r="C26" s="41" t="s">
        <v>45</v>
      </c>
      <c r="D26" s="45"/>
      <c r="E26" s="42">
        <v>0</v>
      </c>
      <c r="F26" s="42">
        <v>0</v>
      </c>
      <c r="G26" s="41" t="str">
        <f t="shared" si="0"/>
        <v>-</v>
      </c>
      <c r="H26" s="41" t="str">
        <f t="shared" si="1"/>
        <v>-</v>
      </c>
      <c r="I26" s="41">
        <f t="shared" si="2"/>
        <v>0</v>
      </c>
      <c r="J26" s="41">
        <f t="shared" si="3"/>
        <v>0</v>
      </c>
      <c r="K26" s="43"/>
      <c r="L26" s="43"/>
      <c r="M26" s="43"/>
    </row>
    <row r="27" spans="1:13" ht="19.5" thickBot="1">
      <c r="A27" s="83"/>
      <c r="B27" s="44" t="s">
        <v>93</v>
      </c>
      <c r="C27" s="41" t="s">
        <v>45</v>
      </c>
      <c r="D27" s="45"/>
      <c r="E27" s="42">
        <v>1</v>
      </c>
      <c r="F27" s="42">
        <v>1</v>
      </c>
      <c r="G27" s="41" t="str">
        <f t="shared" si="0"/>
        <v>-</v>
      </c>
      <c r="H27" s="41">
        <f t="shared" si="1"/>
        <v>1</v>
      </c>
      <c r="I27" s="41">
        <f t="shared" si="2"/>
        <v>0</v>
      </c>
      <c r="J27" s="41">
        <f t="shared" si="3"/>
        <v>-1</v>
      </c>
      <c r="K27" s="43"/>
      <c r="L27" s="43"/>
      <c r="M27" s="43"/>
    </row>
    <row r="28" spans="1:13" ht="19.5" thickBot="1">
      <c r="A28" s="83"/>
      <c r="B28" s="44" t="s">
        <v>94</v>
      </c>
      <c r="C28" s="41" t="s">
        <v>45</v>
      </c>
      <c r="D28" s="45"/>
      <c r="E28" s="42">
        <v>2</v>
      </c>
      <c r="F28" s="42">
        <v>2</v>
      </c>
      <c r="G28" s="41" t="str">
        <f t="shared" si="0"/>
        <v>-</v>
      </c>
      <c r="H28" s="41">
        <f t="shared" si="1"/>
        <v>1</v>
      </c>
      <c r="I28" s="41">
        <f t="shared" si="2"/>
        <v>0</v>
      </c>
      <c r="J28" s="41">
        <f t="shared" si="3"/>
        <v>-2</v>
      </c>
      <c r="K28" s="43"/>
      <c r="L28" s="43"/>
      <c r="M28" s="43"/>
    </row>
    <row r="29" spans="1:13" ht="19.5" thickBot="1">
      <c r="A29" s="83"/>
      <c r="B29" s="44" t="s">
        <v>95</v>
      </c>
      <c r="C29" s="41" t="s">
        <v>45</v>
      </c>
      <c r="D29" s="45"/>
      <c r="E29" s="42">
        <v>0</v>
      </c>
      <c r="F29" s="42">
        <v>0</v>
      </c>
      <c r="G29" s="41" t="str">
        <f t="shared" si="0"/>
        <v>-</v>
      </c>
      <c r="H29" s="41" t="str">
        <f t="shared" si="1"/>
        <v>-</v>
      </c>
      <c r="I29" s="41">
        <f t="shared" si="2"/>
        <v>0</v>
      </c>
      <c r="J29" s="41">
        <f t="shared" si="3"/>
        <v>0</v>
      </c>
      <c r="K29" s="43"/>
      <c r="L29" s="43"/>
      <c r="M29" s="43"/>
    </row>
    <row r="30" spans="1:13" ht="19.5" thickBot="1">
      <c r="A30" s="83"/>
      <c r="B30" s="44" t="s">
        <v>96</v>
      </c>
      <c r="C30" s="41" t="s">
        <v>45</v>
      </c>
      <c r="D30" s="45"/>
      <c r="E30" s="42">
        <v>18</v>
      </c>
      <c r="F30" s="42">
        <v>18</v>
      </c>
      <c r="G30" s="41" t="str">
        <f t="shared" si="0"/>
        <v>-</v>
      </c>
      <c r="H30" s="41">
        <f t="shared" si="1"/>
        <v>1</v>
      </c>
      <c r="I30" s="41">
        <f t="shared" si="2"/>
        <v>0</v>
      </c>
      <c r="J30" s="41">
        <f t="shared" si="3"/>
        <v>-18</v>
      </c>
      <c r="K30" s="43"/>
      <c r="L30" s="43"/>
      <c r="M30" s="43"/>
    </row>
    <row r="31" spans="1:13" ht="38.25" thickBot="1">
      <c r="A31" s="83"/>
      <c r="B31" s="44" t="s">
        <v>100</v>
      </c>
      <c r="C31" s="41" t="s">
        <v>45</v>
      </c>
      <c r="D31" s="45"/>
      <c r="E31" s="42">
        <v>2</v>
      </c>
      <c r="F31" s="42">
        <v>2</v>
      </c>
      <c r="G31" s="41" t="str">
        <f t="shared" si="0"/>
        <v>-</v>
      </c>
      <c r="H31" s="41">
        <f t="shared" si="1"/>
        <v>1</v>
      </c>
      <c r="I31" s="41">
        <f t="shared" si="2"/>
        <v>0</v>
      </c>
      <c r="J31" s="41">
        <f t="shared" si="3"/>
        <v>-2</v>
      </c>
      <c r="K31" s="43" t="s">
        <v>97</v>
      </c>
      <c r="L31" s="43" t="s">
        <v>98</v>
      </c>
      <c r="M31" s="43" t="s">
        <v>99</v>
      </c>
    </row>
    <row r="32" spans="1:13" ht="19.5" thickBot="1">
      <c r="A32" s="83"/>
      <c r="B32" s="44" t="s">
        <v>101</v>
      </c>
      <c r="C32" s="41" t="s">
        <v>45</v>
      </c>
      <c r="D32" s="45"/>
      <c r="E32" s="42">
        <v>9</v>
      </c>
      <c r="F32" s="42">
        <v>9</v>
      </c>
      <c r="G32" s="41" t="str">
        <f t="shared" si="0"/>
        <v>-</v>
      </c>
      <c r="H32" s="41">
        <f t="shared" si="1"/>
        <v>1</v>
      </c>
      <c r="I32" s="41">
        <f t="shared" si="2"/>
        <v>0</v>
      </c>
      <c r="J32" s="41">
        <f t="shared" si="3"/>
        <v>-9</v>
      </c>
      <c r="K32" s="43"/>
      <c r="L32" s="43"/>
      <c r="M32" s="43"/>
    </row>
    <row r="33" spans="1:13" ht="19.5" thickBot="1">
      <c r="A33" s="83"/>
      <c r="B33" s="44" t="s">
        <v>102</v>
      </c>
      <c r="C33" s="41" t="s">
        <v>104</v>
      </c>
      <c r="D33" s="45"/>
      <c r="E33" s="42">
        <v>75</v>
      </c>
      <c r="F33" s="42">
        <v>75</v>
      </c>
      <c r="G33" s="41" t="str">
        <f t="shared" si="0"/>
        <v>-</v>
      </c>
      <c r="H33" s="41">
        <f t="shared" si="1"/>
        <v>1</v>
      </c>
      <c r="I33" s="41">
        <f t="shared" si="2"/>
        <v>0</v>
      </c>
      <c r="J33" s="41">
        <f t="shared" si="3"/>
        <v>-75</v>
      </c>
      <c r="K33" s="43"/>
      <c r="L33" s="43"/>
      <c r="M33" s="43"/>
    </row>
    <row r="34" spans="1:13" ht="19.5" thickBot="1">
      <c r="A34" s="83"/>
      <c r="B34" s="44" t="s">
        <v>103</v>
      </c>
      <c r="C34" s="41" t="s">
        <v>45</v>
      </c>
      <c r="D34" s="41"/>
      <c r="E34" s="42">
        <v>4</v>
      </c>
      <c r="F34" s="42">
        <v>4</v>
      </c>
      <c r="G34" s="41" t="str">
        <f t="shared" si="0"/>
        <v>-</v>
      </c>
      <c r="H34" s="41">
        <f t="shared" si="1"/>
        <v>1</v>
      </c>
      <c r="I34" s="41">
        <f t="shared" si="2"/>
        <v>0</v>
      </c>
      <c r="J34" s="41">
        <f t="shared" si="3"/>
        <v>-4</v>
      </c>
      <c r="K34" s="43"/>
      <c r="L34" s="43"/>
      <c r="M34" s="43"/>
    </row>
    <row r="35" spans="1:13" ht="19.5" thickBot="1">
      <c r="A35" s="84"/>
      <c r="B35" s="44" t="s">
        <v>5</v>
      </c>
      <c r="C35" s="41" t="s">
        <v>45</v>
      </c>
      <c r="D35" s="45"/>
      <c r="E35" s="42">
        <v>390</v>
      </c>
      <c r="F35" s="42">
        <v>390</v>
      </c>
      <c r="G35" s="41" t="str">
        <f t="shared" si="0"/>
        <v>-</v>
      </c>
      <c r="H35" s="41">
        <f t="shared" si="1"/>
        <v>1</v>
      </c>
      <c r="I35" s="41">
        <f t="shared" si="2"/>
        <v>0</v>
      </c>
      <c r="J35" s="41">
        <f t="shared" si="3"/>
        <v>-390</v>
      </c>
      <c r="K35" s="43"/>
      <c r="L35" s="43"/>
      <c r="M35" s="43"/>
    </row>
    <row r="36" spans="1:13" ht="38.25" thickBot="1">
      <c r="A36" s="82" t="s">
        <v>107</v>
      </c>
      <c r="B36" s="40" t="s">
        <v>91</v>
      </c>
      <c r="C36" s="41" t="s">
        <v>45</v>
      </c>
      <c r="D36" s="45"/>
      <c r="E36" s="42">
        <v>0</v>
      </c>
      <c r="F36" s="42">
        <v>0</v>
      </c>
      <c r="G36" s="41" t="str">
        <f t="shared" si="0"/>
        <v>-</v>
      </c>
      <c r="H36" s="41" t="str">
        <f t="shared" si="1"/>
        <v>-</v>
      </c>
      <c r="I36" s="41">
        <f t="shared" si="2"/>
        <v>0</v>
      </c>
      <c r="J36" s="41">
        <f t="shared" si="3"/>
        <v>0</v>
      </c>
      <c r="K36" s="43"/>
      <c r="L36" s="43"/>
      <c r="M36" s="43"/>
    </row>
    <row r="37" spans="1:13" ht="19.5" thickBot="1">
      <c r="A37" s="83"/>
      <c r="B37" s="44" t="s">
        <v>92</v>
      </c>
      <c r="C37" s="41" t="s">
        <v>45</v>
      </c>
      <c r="D37" s="45"/>
      <c r="E37" s="42">
        <v>0</v>
      </c>
      <c r="F37" s="42">
        <v>0</v>
      </c>
      <c r="G37" s="41" t="str">
        <f t="shared" si="0"/>
        <v>-</v>
      </c>
      <c r="H37" s="41" t="str">
        <f t="shared" si="1"/>
        <v>-</v>
      </c>
      <c r="I37" s="41">
        <f t="shared" si="2"/>
        <v>0</v>
      </c>
      <c r="J37" s="41">
        <f t="shared" si="3"/>
        <v>0</v>
      </c>
      <c r="K37" s="43"/>
      <c r="L37" s="43"/>
      <c r="M37" s="43"/>
    </row>
    <row r="38" spans="1:13" ht="19.5" thickBot="1">
      <c r="A38" s="83"/>
      <c r="B38" s="44" t="s">
        <v>93</v>
      </c>
      <c r="C38" s="41" t="s">
        <v>45</v>
      </c>
      <c r="D38" s="45"/>
      <c r="E38" s="42">
        <v>0</v>
      </c>
      <c r="F38" s="42">
        <v>0</v>
      </c>
      <c r="G38" s="41" t="str">
        <f t="shared" si="0"/>
        <v>-</v>
      </c>
      <c r="H38" s="41" t="str">
        <f t="shared" si="1"/>
        <v>-</v>
      </c>
      <c r="I38" s="41">
        <f t="shared" si="2"/>
        <v>0</v>
      </c>
      <c r="J38" s="41">
        <f t="shared" si="3"/>
        <v>0</v>
      </c>
      <c r="K38" s="43"/>
      <c r="L38" s="43"/>
      <c r="M38" s="43"/>
    </row>
    <row r="39" spans="1:13" ht="19.5" thickBot="1">
      <c r="A39" s="83"/>
      <c r="B39" s="44" t="s">
        <v>94</v>
      </c>
      <c r="C39" s="41" t="s">
        <v>45</v>
      </c>
      <c r="D39" s="45"/>
      <c r="E39" s="42">
        <v>0</v>
      </c>
      <c r="F39" s="42">
        <v>0</v>
      </c>
      <c r="G39" s="41" t="str">
        <f t="shared" si="0"/>
        <v>-</v>
      </c>
      <c r="H39" s="41" t="str">
        <f t="shared" si="1"/>
        <v>-</v>
      </c>
      <c r="I39" s="41">
        <f t="shared" si="2"/>
        <v>0</v>
      </c>
      <c r="J39" s="41">
        <f t="shared" si="3"/>
        <v>0</v>
      </c>
      <c r="K39" s="43"/>
      <c r="L39" s="43"/>
      <c r="M39" s="43"/>
    </row>
    <row r="40" spans="1:13" ht="19.5" thickBot="1">
      <c r="A40" s="83"/>
      <c r="B40" s="44" t="s">
        <v>95</v>
      </c>
      <c r="C40" s="41" t="s">
        <v>45</v>
      </c>
      <c r="D40" s="45"/>
      <c r="E40" s="42">
        <v>0</v>
      </c>
      <c r="F40" s="42">
        <v>0</v>
      </c>
      <c r="G40" s="41" t="str">
        <f t="shared" si="0"/>
        <v>-</v>
      </c>
      <c r="H40" s="41" t="str">
        <f t="shared" si="1"/>
        <v>-</v>
      </c>
      <c r="I40" s="41">
        <f t="shared" si="2"/>
        <v>0</v>
      </c>
      <c r="J40" s="41">
        <f t="shared" si="3"/>
        <v>0</v>
      </c>
      <c r="K40" s="43"/>
      <c r="L40" s="43"/>
      <c r="M40" s="43"/>
    </row>
    <row r="41" spans="1:13" ht="19.5" thickBot="1">
      <c r="A41" s="83"/>
      <c r="B41" s="44" t="s">
        <v>96</v>
      </c>
      <c r="C41" s="41" t="s">
        <v>45</v>
      </c>
      <c r="D41" s="41"/>
      <c r="E41" s="42">
        <v>6</v>
      </c>
      <c r="F41" s="42">
        <v>6</v>
      </c>
      <c r="G41" s="41" t="str">
        <f t="shared" si="0"/>
        <v>-</v>
      </c>
      <c r="H41" s="41">
        <f t="shared" si="1"/>
        <v>1</v>
      </c>
      <c r="I41" s="41">
        <f t="shared" si="2"/>
        <v>0</v>
      </c>
      <c r="J41" s="41">
        <f t="shared" si="3"/>
        <v>-6</v>
      </c>
      <c r="K41" s="43"/>
      <c r="L41" s="43"/>
      <c r="M41" s="43" t="s">
        <v>108</v>
      </c>
    </row>
    <row r="42" spans="1:13" ht="19.5" thickBot="1">
      <c r="A42" s="83"/>
      <c r="B42" s="44" t="s">
        <v>100</v>
      </c>
      <c r="C42" s="41" t="s">
        <v>45</v>
      </c>
      <c r="D42" s="45"/>
      <c r="E42" s="42">
        <v>0</v>
      </c>
      <c r="F42" s="42">
        <v>0</v>
      </c>
      <c r="G42" s="41" t="str">
        <f t="shared" si="0"/>
        <v>-</v>
      </c>
      <c r="H42" s="41" t="str">
        <f t="shared" si="1"/>
        <v>-</v>
      </c>
      <c r="I42" s="41">
        <f t="shared" si="2"/>
        <v>0</v>
      </c>
      <c r="J42" s="41">
        <f t="shared" si="3"/>
        <v>0</v>
      </c>
      <c r="K42" s="43"/>
      <c r="L42" s="43"/>
      <c r="M42" s="43"/>
    </row>
    <row r="43" spans="1:13" ht="19.5" thickBot="1">
      <c r="A43" s="83"/>
      <c r="B43" s="44" t="s">
        <v>101</v>
      </c>
      <c r="C43" s="41" t="s">
        <v>45</v>
      </c>
      <c r="D43" s="45"/>
      <c r="E43" s="42">
        <v>3</v>
      </c>
      <c r="F43" s="42">
        <v>3</v>
      </c>
      <c r="G43" s="41" t="str">
        <f t="shared" si="0"/>
        <v>-</v>
      </c>
      <c r="H43" s="41">
        <f t="shared" si="1"/>
        <v>1</v>
      </c>
      <c r="I43" s="41">
        <f t="shared" si="2"/>
        <v>0</v>
      </c>
      <c r="J43" s="41">
        <f t="shared" si="3"/>
        <v>-3</v>
      </c>
      <c r="K43" s="43"/>
      <c r="L43" s="43"/>
      <c r="M43" s="43"/>
    </row>
    <row r="44" spans="1:13" ht="19.5" thickBot="1">
      <c r="A44" s="83"/>
      <c r="B44" s="44" t="s">
        <v>102</v>
      </c>
      <c r="C44" s="41" t="s">
        <v>45</v>
      </c>
      <c r="D44" s="45"/>
      <c r="E44" s="42">
        <v>20</v>
      </c>
      <c r="F44" s="42">
        <v>20</v>
      </c>
      <c r="G44" s="41" t="str">
        <f t="shared" si="0"/>
        <v>-</v>
      </c>
      <c r="H44" s="41">
        <f t="shared" si="1"/>
        <v>1</v>
      </c>
      <c r="I44" s="41">
        <f t="shared" si="2"/>
        <v>0</v>
      </c>
      <c r="J44" s="41">
        <f t="shared" si="3"/>
        <v>-20</v>
      </c>
      <c r="K44" s="43"/>
      <c r="L44" s="43"/>
      <c r="M44" s="43"/>
    </row>
    <row r="45" spans="1:13" ht="19.5" thickBot="1">
      <c r="A45" s="83"/>
      <c r="B45" s="44" t="s">
        <v>103</v>
      </c>
      <c r="C45" s="41" t="s">
        <v>45</v>
      </c>
      <c r="D45" s="45"/>
      <c r="E45" s="42">
        <v>0</v>
      </c>
      <c r="F45" s="42">
        <v>0</v>
      </c>
      <c r="G45" s="41" t="str">
        <f t="shared" si="0"/>
        <v>-</v>
      </c>
      <c r="H45" s="41" t="str">
        <f t="shared" si="1"/>
        <v>-</v>
      </c>
      <c r="I45" s="41">
        <f t="shared" si="2"/>
        <v>0</v>
      </c>
      <c r="J45" s="41">
        <f t="shared" si="3"/>
        <v>0</v>
      </c>
      <c r="K45" s="43"/>
      <c r="L45" s="43"/>
      <c r="M45" s="43"/>
    </row>
    <row r="46" spans="1:13" ht="19.5" thickBot="1">
      <c r="A46" s="83"/>
      <c r="B46" s="44" t="s">
        <v>5</v>
      </c>
      <c r="C46" s="41" t="s">
        <v>104</v>
      </c>
      <c r="D46" s="45"/>
      <c r="E46" s="42">
        <v>102</v>
      </c>
      <c r="F46" s="42">
        <v>102</v>
      </c>
      <c r="G46" s="41" t="str">
        <f t="shared" si="0"/>
        <v>-</v>
      </c>
      <c r="H46" s="41">
        <f t="shared" si="1"/>
        <v>1</v>
      </c>
      <c r="I46" s="41">
        <f t="shared" si="2"/>
        <v>0</v>
      </c>
      <c r="J46" s="41">
        <f t="shared" si="3"/>
        <v>-102</v>
      </c>
      <c r="K46" s="43"/>
      <c r="L46" s="43"/>
      <c r="M46" s="43"/>
    </row>
    <row r="47" spans="1:13" ht="38.25" thickBot="1">
      <c r="A47" s="87" t="s">
        <v>109</v>
      </c>
      <c r="B47" s="40" t="s">
        <v>91</v>
      </c>
      <c r="C47" s="41" t="s">
        <v>45</v>
      </c>
      <c r="D47" s="45"/>
      <c r="E47" s="42">
        <v>6</v>
      </c>
      <c r="F47" s="42">
        <v>6</v>
      </c>
      <c r="G47" s="41" t="str">
        <f t="shared" si="0"/>
        <v>-</v>
      </c>
      <c r="H47" s="41">
        <f t="shared" si="1"/>
        <v>1</v>
      </c>
      <c r="I47" s="41">
        <f t="shared" si="2"/>
        <v>0</v>
      </c>
      <c r="J47" s="41">
        <f t="shared" si="3"/>
        <v>-6</v>
      </c>
      <c r="K47" s="43"/>
      <c r="L47" s="43"/>
      <c r="M47" s="43"/>
    </row>
    <row r="48" spans="1:13" ht="19.5" thickBot="1">
      <c r="A48" s="87"/>
      <c r="B48" s="44" t="s">
        <v>92</v>
      </c>
      <c r="C48" s="41" t="s">
        <v>45</v>
      </c>
      <c r="D48" s="45"/>
      <c r="E48" s="42">
        <v>4</v>
      </c>
      <c r="F48" s="42">
        <v>4</v>
      </c>
      <c r="G48" s="41" t="str">
        <f t="shared" si="0"/>
        <v>-</v>
      </c>
      <c r="H48" s="41">
        <f t="shared" si="1"/>
        <v>1</v>
      </c>
      <c r="I48" s="41">
        <f t="shared" si="2"/>
        <v>0</v>
      </c>
      <c r="J48" s="41">
        <f t="shared" si="3"/>
        <v>-4</v>
      </c>
      <c r="K48" s="43"/>
      <c r="L48" s="43"/>
      <c r="M48" s="43"/>
    </row>
    <row r="49" spans="1:13" ht="19.5" thickBot="1">
      <c r="A49" s="87"/>
      <c r="B49" s="44" t="s">
        <v>93</v>
      </c>
      <c r="C49" s="41" t="s">
        <v>45</v>
      </c>
      <c r="D49" s="45"/>
      <c r="E49" s="42">
        <v>0</v>
      </c>
      <c r="F49" s="42">
        <v>0</v>
      </c>
      <c r="G49" s="41" t="str">
        <f t="shared" si="0"/>
        <v>-</v>
      </c>
      <c r="H49" s="41" t="str">
        <f t="shared" si="1"/>
        <v>-</v>
      </c>
      <c r="I49" s="41">
        <f t="shared" si="2"/>
        <v>0</v>
      </c>
      <c r="J49" s="41">
        <f t="shared" si="3"/>
        <v>0</v>
      </c>
      <c r="K49" s="43"/>
      <c r="L49" s="43"/>
      <c r="M49" s="43"/>
    </row>
    <row r="50" spans="1:13" ht="19.5" thickBot="1">
      <c r="A50" s="87"/>
      <c r="B50" s="44" t="s">
        <v>94</v>
      </c>
      <c r="C50" s="41" t="s">
        <v>45</v>
      </c>
      <c r="D50" s="45"/>
      <c r="E50" s="42">
        <v>0</v>
      </c>
      <c r="F50" s="42">
        <v>0</v>
      </c>
      <c r="G50" s="41" t="str">
        <f t="shared" si="0"/>
        <v>-</v>
      </c>
      <c r="H50" s="41" t="str">
        <f t="shared" si="1"/>
        <v>-</v>
      </c>
      <c r="I50" s="41">
        <f t="shared" si="2"/>
        <v>0</v>
      </c>
      <c r="J50" s="41">
        <f t="shared" si="3"/>
        <v>0</v>
      </c>
      <c r="K50" s="43"/>
      <c r="L50" s="43"/>
      <c r="M50" s="43"/>
    </row>
    <row r="51" spans="1:13" ht="19.5" thickBot="1">
      <c r="A51" s="87"/>
      <c r="B51" s="44" t="s">
        <v>95</v>
      </c>
      <c r="C51" s="41" t="s">
        <v>45</v>
      </c>
      <c r="D51" s="45"/>
      <c r="E51" s="42">
        <v>6</v>
      </c>
      <c r="F51" s="42">
        <v>6</v>
      </c>
      <c r="G51" s="41" t="str">
        <f t="shared" si="0"/>
        <v>-</v>
      </c>
      <c r="H51" s="41">
        <f t="shared" si="1"/>
        <v>1</v>
      </c>
      <c r="I51" s="41">
        <f t="shared" si="2"/>
        <v>0</v>
      </c>
      <c r="J51" s="41">
        <f t="shared" si="3"/>
        <v>-6</v>
      </c>
      <c r="K51" s="43"/>
      <c r="L51" s="43"/>
      <c r="M51" s="43"/>
    </row>
    <row r="52" spans="1:13" ht="19.5" thickBot="1">
      <c r="A52" s="87"/>
      <c r="B52" s="44" t="s">
        <v>96</v>
      </c>
      <c r="C52" s="41" t="s">
        <v>45</v>
      </c>
      <c r="D52" s="45"/>
      <c r="E52" s="42">
        <v>0</v>
      </c>
      <c r="F52" s="42">
        <v>0</v>
      </c>
      <c r="G52" s="41" t="str">
        <f t="shared" si="0"/>
        <v>-</v>
      </c>
      <c r="H52" s="41" t="str">
        <f t="shared" si="1"/>
        <v>-</v>
      </c>
      <c r="I52" s="41">
        <f t="shared" si="2"/>
        <v>0</v>
      </c>
      <c r="J52" s="41">
        <f t="shared" si="3"/>
        <v>0</v>
      </c>
      <c r="K52" s="43"/>
      <c r="L52" s="43"/>
      <c r="M52" s="43"/>
    </row>
    <row r="53" spans="1:13" ht="19.5" thickBot="1">
      <c r="A53" s="87"/>
      <c r="B53" s="44" t="s">
        <v>100</v>
      </c>
      <c r="C53" s="41" t="s">
        <v>45</v>
      </c>
      <c r="D53" s="45"/>
      <c r="E53" s="42">
        <v>0</v>
      </c>
      <c r="F53" s="42">
        <v>0</v>
      </c>
      <c r="G53" s="41" t="str">
        <f t="shared" si="0"/>
        <v>-</v>
      </c>
      <c r="H53" s="41" t="str">
        <f t="shared" si="1"/>
        <v>-</v>
      </c>
      <c r="I53" s="41">
        <f t="shared" si="2"/>
        <v>0</v>
      </c>
      <c r="J53" s="41">
        <f t="shared" si="3"/>
        <v>0</v>
      </c>
      <c r="K53" s="43"/>
      <c r="L53" s="43"/>
      <c r="M53" s="43"/>
    </row>
    <row r="54" spans="1:13" ht="19.5" thickBot="1">
      <c r="A54" s="87"/>
      <c r="B54" s="44" t="s">
        <v>101</v>
      </c>
      <c r="C54" s="41" t="s">
        <v>45</v>
      </c>
      <c r="D54" s="45"/>
      <c r="E54" s="42">
        <v>0</v>
      </c>
      <c r="F54" s="42">
        <v>0</v>
      </c>
      <c r="G54" s="41" t="str">
        <f t="shared" si="0"/>
        <v>-</v>
      </c>
      <c r="H54" s="41" t="str">
        <f t="shared" si="1"/>
        <v>-</v>
      </c>
      <c r="I54" s="41">
        <f t="shared" si="2"/>
        <v>0</v>
      </c>
      <c r="J54" s="41">
        <f t="shared" si="3"/>
        <v>0</v>
      </c>
      <c r="K54" s="43"/>
      <c r="L54" s="43"/>
      <c r="M54" s="43"/>
    </row>
    <row r="55" spans="1:13" ht="19.5" thickBot="1">
      <c r="A55" s="87"/>
      <c r="B55" s="44" t="s">
        <v>102</v>
      </c>
      <c r="C55" s="41" t="s">
        <v>45</v>
      </c>
      <c r="D55" s="45"/>
      <c r="E55" s="42">
        <v>187</v>
      </c>
      <c r="F55" s="42">
        <v>187</v>
      </c>
      <c r="G55" s="41" t="str">
        <f t="shared" si="0"/>
        <v>-</v>
      </c>
      <c r="H55" s="41">
        <f t="shared" si="1"/>
        <v>1</v>
      </c>
      <c r="I55" s="41">
        <f t="shared" si="2"/>
        <v>0</v>
      </c>
      <c r="J55" s="41">
        <f t="shared" si="3"/>
        <v>-187</v>
      </c>
      <c r="K55" s="43"/>
      <c r="L55" s="43"/>
      <c r="M55" s="43"/>
    </row>
    <row r="56" spans="1:13" ht="19.5" thickBot="1">
      <c r="A56" s="87"/>
      <c r="B56" s="44" t="s">
        <v>103</v>
      </c>
      <c r="C56" s="41" t="s">
        <v>45</v>
      </c>
      <c r="D56" s="45"/>
      <c r="E56" s="42">
        <v>20</v>
      </c>
      <c r="F56" s="42">
        <v>20</v>
      </c>
      <c r="G56" s="41" t="str">
        <f t="shared" si="0"/>
        <v>-</v>
      </c>
      <c r="H56" s="41">
        <f t="shared" si="1"/>
        <v>1</v>
      </c>
      <c r="I56" s="41">
        <f t="shared" si="2"/>
        <v>0</v>
      </c>
      <c r="J56" s="41">
        <f t="shared" si="3"/>
        <v>-20</v>
      </c>
      <c r="K56" s="43"/>
      <c r="L56" s="43"/>
      <c r="M56" s="43"/>
    </row>
    <row r="57" spans="1:13" ht="19.5" thickBot="1">
      <c r="A57" s="87"/>
      <c r="B57" s="44" t="s">
        <v>5</v>
      </c>
      <c r="C57" s="41" t="s">
        <v>104</v>
      </c>
      <c r="D57" s="45"/>
      <c r="E57" s="42">
        <v>759</v>
      </c>
      <c r="F57" s="42">
        <v>759</v>
      </c>
      <c r="G57" s="41" t="str">
        <f t="shared" si="0"/>
        <v>-</v>
      </c>
      <c r="H57" s="41">
        <f t="shared" si="1"/>
        <v>1</v>
      </c>
      <c r="I57" s="41">
        <f t="shared" si="2"/>
        <v>0</v>
      </c>
      <c r="J57" s="41">
        <f t="shared" si="3"/>
        <v>-759</v>
      </c>
      <c r="K57" s="43"/>
      <c r="L57" s="43"/>
      <c r="M57" s="43"/>
    </row>
  </sheetData>
  <mergeCells count="12">
    <mergeCell ref="A47:A57"/>
    <mergeCell ref="A1:A2"/>
    <mergeCell ref="B1:B2"/>
    <mergeCell ref="C1:C2"/>
    <mergeCell ref="D1:D2"/>
    <mergeCell ref="J1:M1"/>
    <mergeCell ref="A3:A13"/>
    <mergeCell ref="A14:A24"/>
    <mergeCell ref="A25:A35"/>
    <mergeCell ref="A36:A46"/>
    <mergeCell ref="E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Thế Nguyên</dc:creator>
  <cp:lastModifiedBy>Nguyen Thi Thanh Huyen</cp:lastModifiedBy>
  <dcterms:created xsi:type="dcterms:W3CDTF">2025-12-02T15:26:56Z</dcterms:created>
  <dcterms:modified xsi:type="dcterms:W3CDTF">2026-03-17T16:18:13Z</dcterms:modified>
</cp:coreProperties>
</file>