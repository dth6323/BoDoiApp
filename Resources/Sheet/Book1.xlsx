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\Thaiha\BoDoiApp\Resources\Sheet\"/>
    </mc:Choice>
  </mc:AlternateContent>
  <xr:revisionPtr revIDLastSave="0" documentId="13_ncr:1_{89943E5C-105E-4B71-B294-9E074A2ED9E1}" xr6:coauthVersionLast="47" xr6:coauthVersionMax="47" xr10:uidLastSave="{00000000-0000-0000-0000-000000000000}"/>
  <bookViews>
    <workbookView xWindow="-110" yWindow="-110" windowWidth="19420" windowHeight="10300" activeTab="2" xr2:uid="{FCE59EA9-790B-433B-B511-234C9C16BD72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" i="3" l="1"/>
  <c r="E6" i="3"/>
  <c r="E5" i="3"/>
  <c r="E4" i="3"/>
  <c r="E3" i="3"/>
  <c r="I4" i="3"/>
  <c r="I7" i="3"/>
  <c r="F7" i="3"/>
  <c r="F6" i="3"/>
  <c r="I6" i="3"/>
  <c r="I5" i="3"/>
  <c r="F5" i="3"/>
  <c r="F4" i="3"/>
  <c r="I3" i="3"/>
  <c r="F3" i="3"/>
  <c r="F19" i="2"/>
  <c r="E19" i="2"/>
  <c r="D19" i="2"/>
  <c r="C19" i="2"/>
  <c r="B19" i="2"/>
  <c r="M8" i="2"/>
  <c r="L8" i="2"/>
  <c r="K8" i="2"/>
  <c r="J8" i="2"/>
  <c r="I8" i="2"/>
  <c r="H8" i="2"/>
  <c r="G8" i="2"/>
  <c r="F8" i="2"/>
  <c r="E8" i="2"/>
  <c r="D8" i="2"/>
  <c r="C8" i="2"/>
  <c r="B8" i="2"/>
  <c r="M6" i="2"/>
  <c r="M19" i="2" s="1"/>
  <c r="L6" i="2"/>
  <c r="L19" i="2" s="1"/>
  <c r="K6" i="2"/>
  <c r="K19" i="2" s="1"/>
  <c r="J6" i="2"/>
  <c r="J19" i="2" s="1"/>
  <c r="I6" i="2"/>
  <c r="I19" i="2" s="1"/>
  <c r="H6" i="2"/>
  <c r="H19" i="2" s="1"/>
  <c r="G6" i="2"/>
  <c r="G19" i="2" s="1"/>
  <c r="F6" i="2"/>
  <c r="E6" i="2"/>
  <c r="D6" i="2"/>
  <c r="C6" i="2"/>
  <c r="B6" i="2"/>
  <c r="I6" i="1"/>
  <c r="J6" i="1"/>
  <c r="K6" i="1"/>
  <c r="L6" i="1"/>
  <c r="M6" i="1"/>
  <c r="C17" i="1"/>
  <c r="M8" i="1"/>
  <c r="M17" i="1" s="1"/>
  <c r="L8" i="1"/>
  <c r="L17" i="1" s="1"/>
  <c r="K8" i="1"/>
  <c r="K17" i="1" s="1"/>
  <c r="J8" i="1"/>
  <c r="J17" i="1" s="1"/>
  <c r="I8" i="1"/>
  <c r="I17" i="1" s="1"/>
  <c r="H8" i="1"/>
  <c r="H17" i="1" s="1"/>
  <c r="G8" i="1"/>
  <c r="G17" i="1" s="1"/>
  <c r="F8" i="1"/>
  <c r="F17" i="1" s="1"/>
  <c r="E8" i="1"/>
  <c r="E17" i="1" s="1"/>
  <c r="D8" i="1"/>
  <c r="D17" i="1" s="1"/>
  <c r="C8" i="1"/>
  <c r="B8" i="1"/>
  <c r="B17" i="1" s="1"/>
</calcChain>
</file>

<file path=xl/sharedStrings.xml><?xml version="1.0" encoding="utf-8"?>
<sst xmlns="http://schemas.openxmlformats.org/spreadsheetml/2006/main" count="76" uniqueCount="54">
  <si>
    <t>TỔ CHỨC BIÊN CHẾ, TRANG BỊ HƯỚNG CHỦ YẾU</t>
  </si>
  <si>
    <t>LỰC LƯỢNG</t>
  </si>
  <si>
    <t>QUÂN SỐ</t>
  </si>
  <si>
    <t>TRANG BỊ KỸ THUẬT</t>
  </si>
  <si>
    <t>Vũ khí bộ binh</t>
  </si>
  <si>
    <t>Lựu đạn</t>
  </si>
  <si>
    <t>Cối</t>
  </si>
  <si>
    <t>PCT</t>
  </si>
  <si>
    <t>Pháo PK</t>
  </si>
  <si>
    <t>SN</t>
  </si>
  <si>
    <t>TL</t>
  </si>
  <si>
    <t>TrL</t>
  </si>
  <si>
    <t>ĐL</t>
  </si>
  <si>
    <t>B41, M79</t>
  </si>
  <si>
    <t>SPG9</t>
  </si>
  <si>
    <t>1. Trong biên chế</t>
  </si>
  <si>
    <t>cBB1</t>
  </si>
  <si>
    <t>2. LL tăng cường</t>
  </si>
  <si>
    <t>1 b SPG-9/d</t>
  </si>
  <si>
    <t>cCo82(-)/d</t>
  </si>
  <si>
    <t>b SMPK 12,7mm/d</t>
  </si>
  <si>
    <t>cBB3 (-)</t>
  </si>
  <si>
    <t>Y tá/d</t>
  </si>
  <si>
    <t>Nuôi quân của cBB1</t>
  </si>
  <si>
    <t>Nuôi quân của cBB3 (-)</t>
  </si>
  <si>
    <t>a VTB</t>
  </si>
  <si>
    <t>Tổng</t>
  </si>
  <si>
    <t>TỔ CHỨC BIÊN CHẾ, TRANG BỊ TIỂU ĐOÀN BỘ BINH TIẾN CÔNG RỪNG NÚI</t>
  </si>
  <si>
    <t>dBB</t>
  </si>
  <si>
    <t>2. LL phối thuộc</t>
  </si>
  <si>
    <t>1 cO100/e</t>
  </si>
  <si>
    <t>1 cSPG-9/e</t>
  </si>
  <si>
    <t>1 cSMPK 12,7mm/e</t>
  </si>
  <si>
    <t>1b VTB/e</t>
  </si>
  <si>
    <t>1 tổ QY/e</t>
  </si>
  <si>
    <t>1 aHH/f</t>
  </si>
  <si>
    <t>2 PĐ TS/e</t>
  </si>
  <si>
    <t>1 b CB</t>
  </si>
  <si>
    <t>1 tổ SC/e</t>
  </si>
  <si>
    <t>1a TT/e</t>
  </si>
  <si>
    <t>Loại TBKT</t>
  </si>
  <si>
    <t>ĐVT</t>
  </si>
  <si>
    <t>Nhu cầu</t>
  </si>
  <si>
    <t>Hiện có</t>
  </si>
  <si>
    <t>PC TQĐ</t>
  </si>
  <si>
    <t>Bổ sung</t>
  </si>
  <si>
    <t>+</t>
  </si>
  <si>
    <t>Kbđ</t>
  </si>
  <si>
    <t>Kt</t>
  </si>
  <si>
    <t>Số tốt</t>
  </si>
  <si>
    <t>Khẩu</t>
  </si>
  <si>
    <t>Quả</t>
  </si>
  <si>
    <t>Trl</t>
  </si>
  <si>
    <t>DL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</si>
</sst>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family val="2"/>
      <scheme val="minor"/>
    </font>
    <font>
      <b/>
      <sz val="8"/>
      <color theme="1"/>
      <name val="#9Slide02 Tieu de rat dai 01"/>
      <charset val="163"/>
    </font>
    <font>
      <b/>
      <sz val="8"/>
      <color theme="1"/>
      <name val="Times New Roman"/>
      <family val="1"/>
      <charset val="163"/>
    </font>
    <font>
      <sz val="8"/>
      <color theme="1"/>
      <name val="Times New Roman"/>
      <family val="1"/>
      <charset val="163"/>
    </font>
    <font>
      <sz val="8"/>
      <name val="Times New Roman"/>
      <family val="1"/>
      <charset val="163"/>
    </font>
    <font>
      <b/>
      <sz val="8"/>
      <color rgb="FFFF0000"/>
      <name val="Times New Roman"/>
      <family val="1"/>
      <charset val="163"/>
    </font>
    <font>
      <b/>
      <sz val="7"/>
      <color theme="1"/>
      <name val="Times New Roman"/>
      <family val="1"/>
      <charset val="163"/>
    </font>
    <font>
      <sz val="7"/>
      <color theme="1"/>
      <name val="Times New Roman"/>
      <family val="1"/>
      <charset val="163"/>
    </font>
    <font>
      <sz val="7"/>
      <name val="Times New Roman"/>
      <family val="1"/>
      <charset val="163"/>
    </font>
    <font>
      <sz val="7"/>
      <color theme="1"/>
      <name val="Times New Roman"/>
      <family val="1"/>
    </font>
    <font>
      <sz val="7"/>
      <color theme="1"/>
      <name val="Calibri"/>
      <family val="2"/>
      <charset val="163"/>
      <scheme val="minor"/>
    </font>
    <font>
      <b/>
      <sz val="7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3" borderId="7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justify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vertical="center" wrapText="1"/>
    </xf>
    <xf numFmtId="0" fontId="4" fillId="0" borderId="7" xfId="0" applyFont="1" applyBorder="1" applyAlignment="1">
      <alignment vertical="center" wrapText="1"/>
    </xf>
    <xf numFmtId="0" fontId="4" fillId="0" borderId="7" xfId="0" applyFont="1" applyBorder="1" applyAlignment="1">
      <alignment horizontal="center" vertical="center" wrapText="1"/>
    </xf>
    <xf numFmtId="0" fontId="5" fillId="5" borderId="7" xfId="0" applyFont="1" applyFill="1" applyBorder="1" applyAlignment="1">
      <alignment vertical="center"/>
    </xf>
    <xf numFmtId="0" fontId="5" fillId="5" borderId="7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left" vertical="center" wrapText="1"/>
    </xf>
    <xf numFmtId="0" fontId="6" fillId="4" borderId="7" xfId="0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left" vertical="center" wrapText="1"/>
    </xf>
    <xf numFmtId="0" fontId="7" fillId="0" borderId="7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left" vertical="center" wrapText="1"/>
    </xf>
    <xf numFmtId="0" fontId="8" fillId="0" borderId="7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/>
    </xf>
    <xf numFmtId="0" fontId="10" fillId="0" borderId="7" xfId="0" applyFont="1" applyBorder="1" applyAlignment="1">
      <alignment horizontal="left" vertical="center"/>
    </xf>
    <xf numFmtId="0" fontId="10" fillId="0" borderId="7" xfId="0" applyFont="1" applyBorder="1" applyAlignment="1">
      <alignment horizontal="center" vertical="center"/>
    </xf>
    <xf numFmtId="0" fontId="11" fillId="6" borderId="7" xfId="0" applyFont="1" applyFill="1" applyBorder="1" applyAlignment="1">
      <alignment horizontal="left" vertical="center"/>
    </xf>
    <xf numFmtId="0" fontId="11" fillId="6" borderId="7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 wrapText="1"/>
    </xf>
    <xf numFmtId="0" fontId="12" fillId="6" borderId="8" xfId="0" applyFont="1" applyFill="1" applyBorder="1" applyAlignment="1">
      <alignment horizontal="center" vertical="center" wrapText="1"/>
    </xf>
    <xf numFmtId="0" fontId="12" fillId="6" borderId="9" xfId="0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0" fontId="12" fillId="6" borderId="11" xfId="0" applyFont="1" applyFill="1" applyBorder="1" applyAlignment="1">
      <alignment horizontal="center" vertical="center"/>
    </xf>
    <xf numFmtId="0" fontId="12" fillId="6" borderId="8" xfId="0" applyFont="1" applyFill="1" applyBorder="1" applyAlignment="1">
      <alignment horizontal="center" vertical="center"/>
    </xf>
    <xf numFmtId="0" fontId="12" fillId="6" borderId="12" xfId="0" applyFont="1" applyFill="1" applyBorder="1" applyAlignment="1">
      <alignment horizontal="center" vertical="center" wrapText="1"/>
    </xf>
    <xf numFmtId="0" fontId="12" fillId="6" borderId="7" xfId="0" applyFont="1" applyFill="1" applyBorder="1" applyAlignment="1">
      <alignment horizontal="center" vertical="center"/>
    </xf>
    <xf numFmtId="0" fontId="12" fillId="6" borderId="12" xfId="0" applyFont="1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73A-C175-4526-B966-989AD58BFBEE}">
  <dimension ref="A1:M17"/>
  <sheetViews>
    <sheetView workbookViewId="0">
      <selection activeCell="O13" sqref="O13"/>
    </sheetView>
  </sheetViews>
  <sheetFormatPr defaultRowHeight="14.5"/>
  <sheetData>
    <row r="1" spans="1:13">
      <c r="A1" s="22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4"/>
    </row>
    <row r="2" spans="1:13">
      <c r="A2" s="25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7"/>
    </row>
    <row r="3" spans="1:13">
      <c r="A3" s="28" t="s">
        <v>1</v>
      </c>
      <c r="B3" s="28" t="s">
        <v>2</v>
      </c>
      <c r="C3" s="28" t="s">
        <v>3</v>
      </c>
      <c r="D3" s="28"/>
      <c r="E3" s="28"/>
      <c r="F3" s="28"/>
      <c r="G3" s="28"/>
      <c r="H3" s="28"/>
      <c r="I3" s="28"/>
      <c r="J3" s="28"/>
      <c r="K3" s="28"/>
      <c r="L3" s="28"/>
      <c r="M3" s="28"/>
    </row>
    <row r="4" spans="1:13">
      <c r="A4" s="28"/>
      <c r="B4" s="28"/>
      <c r="C4" s="28" t="s">
        <v>4</v>
      </c>
      <c r="D4" s="28"/>
      <c r="E4" s="28"/>
      <c r="F4" s="28"/>
      <c r="G4" s="28"/>
      <c r="H4" s="28" t="s">
        <v>5</v>
      </c>
      <c r="I4" s="28" t="s">
        <v>6</v>
      </c>
      <c r="J4" s="28"/>
      <c r="K4" s="28"/>
      <c r="L4" s="1" t="s">
        <v>7</v>
      </c>
      <c r="M4" s="1" t="s">
        <v>8</v>
      </c>
    </row>
    <row r="5" spans="1:13">
      <c r="A5" s="28"/>
      <c r="B5" s="28"/>
      <c r="C5" s="1" t="s">
        <v>9</v>
      </c>
      <c r="D5" s="1" t="s">
        <v>10</v>
      </c>
      <c r="E5" s="1" t="s">
        <v>11</v>
      </c>
      <c r="F5" s="1" t="s">
        <v>12</v>
      </c>
      <c r="G5" s="1" t="s">
        <v>13</v>
      </c>
      <c r="H5" s="28"/>
      <c r="I5" s="1">
        <v>60</v>
      </c>
      <c r="J5" s="1">
        <v>82</v>
      </c>
      <c r="K5" s="1">
        <v>100</v>
      </c>
      <c r="L5" s="1" t="s">
        <v>14</v>
      </c>
      <c r="M5" s="1">
        <v>12.7</v>
      </c>
    </row>
    <row r="6" spans="1:13" ht="21">
      <c r="A6" s="2" t="s">
        <v>15</v>
      </c>
      <c r="B6" s="2"/>
      <c r="C6" s="2"/>
      <c r="D6" s="2"/>
      <c r="E6" s="2"/>
      <c r="F6" s="2"/>
      <c r="G6" s="2"/>
      <c r="H6" s="2"/>
      <c r="I6" s="2">
        <f>I7</f>
        <v>0</v>
      </c>
      <c r="J6" s="2">
        <f t="shared" ref="J6:M6" si="0">J7</f>
        <v>0</v>
      </c>
      <c r="K6" s="2">
        <f t="shared" si="0"/>
        <v>0</v>
      </c>
      <c r="L6" s="2">
        <f t="shared" si="0"/>
        <v>0</v>
      </c>
      <c r="M6" s="2">
        <f t="shared" si="0"/>
        <v>0</v>
      </c>
    </row>
    <row r="7" spans="1:13">
      <c r="A7" s="3" t="s">
        <v>16</v>
      </c>
      <c r="B7" s="4">
        <v>1</v>
      </c>
      <c r="C7" s="4">
        <v>1</v>
      </c>
      <c r="D7" s="4">
        <v>1</v>
      </c>
      <c r="E7" s="4"/>
      <c r="F7" s="4"/>
      <c r="G7" s="4"/>
      <c r="H7" s="4"/>
      <c r="I7" s="4"/>
      <c r="J7" s="4"/>
      <c r="K7" s="4"/>
      <c r="L7" s="4"/>
      <c r="M7" s="4"/>
    </row>
    <row r="8" spans="1:13" ht="21">
      <c r="A8" s="2" t="s">
        <v>17</v>
      </c>
      <c r="B8" s="2">
        <f t="shared" ref="B8:M8" si="1">SUM(B9:B16)</f>
        <v>0</v>
      </c>
      <c r="C8" s="2">
        <f t="shared" si="1"/>
        <v>0</v>
      </c>
      <c r="D8" s="2">
        <f t="shared" si="1"/>
        <v>0</v>
      </c>
      <c r="E8" s="2">
        <f t="shared" si="1"/>
        <v>0</v>
      </c>
      <c r="F8" s="2">
        <f t="shared" si="1"/>
        <v>0</v>
      </c>
      <c r="G8" s="2">
        <f t="shared" si="1"/>
        <v>0</v>
      </c>
      <c r="H8" s="2">
        <f t="shared" si="1"/>
        <v>0</v>
      </c>
      <c r="I8" s="2">
        <f t="shared" si="1"/>
        <v>0</v>
      </c>
      <c r="J8" s="2">
        <f t="shared" si="1"/>
        <v>0</v>
      </c>
      <c r="K8" s="2">
        <f t="shared" si="1"/>
        <v>0</v>
      </c>
      <c r="L8" s="2">
        <f t="shared" si="1"/>
        <v>0</v>
      </c>
      <c r="M8" s="2">
        <f t="shared" si="1"/>
        <v>0</v>
      </c>
    </row>
    <row r="9" spans="1:13">
      <c r="A9" s="5" t="s">
        <v>18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</row>
    <row r="10" spans="1:13">
      <c r="A10" s="5" t="s">
        <v>19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</row>
    <row r="11" spans="1:13" ht="21">
      <c r="A11" s="5" t="s">
        <v>20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</row>
    <row r="12" spans="1:13">
      <c r="A12" s="5" t="s">
        <v>21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</row>
    <row r="13" spans="1:13">
      <c r="A13" s="6" t="s">
        <v>22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</row>
    <row r="14" spans="1:13" ht="21">
      <c r="A14" s="6" t="s">
        <v>23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</row>
    <row r="15" spans="1:13" ht="21">
      <c r="A15" s="6" t="s">
        <v>24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</row>
    <row r="16" spans="1:13">
      <c r="A16" s="5" t="s">
        <v>25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</row>
    <row r="17" spans="1:13">
      <c r="A17" s="8" t="s">
        <v>26</v>
      </c>
      <c r="B17" s="9">
        <f t="shared" ref="B17:M17" si="2">B7+B8</f>
        <v>1</v>
      </c>
      <c r="C17" s="9">
        <f t="shared" si="2"/>
        <v>1</v>
      </c>
      <c r="D17" s="9">
        <f t="shared" si="2"/>
        <v>1</v>
      </c>
      <c r="E17" s="9">
        <f t="shared" si="2"/>
        <v>0</v>
      </c>
      <c r="F17" s="9">
        <f t="shared" si="2"/>
        <v>0</v>
      </c>
      <c r="G17" s="9">
        <f t="shared" si="2"/>
        <v>0</v>
      </c>
      <c r="H17" s="9">
        <f t="shared" si="2"/>
        <v>0</v>
      </c>
      <c r="I17" s="9">
        <f t="shared" si="2"/>
        <v>0</v>
      </c>
      <c r="J17" s="9">
        <f t="shared" si="2"/>
        <v>0</v>
      </c>
      <c r="K17" s="9">
        <f t="shared" si="2"/>
        <v>0</v>
      </c>
      <c r="L17" s="9">
        <f t="shared" si="2"/>
        <v>0</v>
      </c>
      <c r="M17" s="9">
        <f t="shared" si="2"/>
        <v>0</v>
      </c>
    </row>
  </sheetData>
  <mergeCells count="7">
    <mergeCell ref="A1:M2"/>
    <mergeCell ref="A3:A5"/>
    <mergeCell ref="B3:B5"/>
    <mergeCell ref="C3:M3"/>
    <mergeCell ref="C4:G4"/>
    <mergeCell ref="H4:H5"/>
    <mergeCell ref="I4:K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16AEE-EEF3-41FC-9011-B3FA05A2337A}">
  <dimension ref="A1:M19"/>
  <sheetViews>
    <sheetView workbookViewId="0">
      <selection activeCell="N3" sqref="N3"/>
    </sheetView>
  </sheetViews>
  <sheetFormatPr defaultRowHeight="14.5"/>
  <sheetData>
    <row r="1" spans="1:13">
      <c r="A1" s="22" t="s">
        <v>27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4"/>
    </row>
    <row r="2" spans="1:13">
      <c r="A2" s="25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7"/>
    </row>
    <row r="3" spans="1:13">
      <c r="A3" s="28" t="s">
        <v>1</v>
      </c>
      <c r="B3" s="28" t="s">
        <v>2</v>
      </c>
      <c r="C3" s="28" t="s">
        <v>3</v>
      </c>
      <c r="D3" s="28"/>
      <c r="E3" s="28"/>
      <c r="F3" s="28"/>
      <c r="G3" s="28"/>
      <c r="H3" s="28"/>
      <c r="I3" s="28"/>
      <c r="J3" s="28"/>
      <c r="K3" s="28"/>
      <c r="L3" s="28"/>
      <c r="M3" s="28"/>
    </row>
    <row r="4" spans="1:13">
      <c r="A4" s="28"/>
      <c r="B4" s="28"/>
      <c r="C4" s="28" t="s">
        <v>4</v>
      </c>
      <c r="D4" s="28"/>
      <c r="E4" s="28"/>
      <c r="F4" s="28"/>
      <c r="G4" s="28"/>
      <c r="H4" s="28" t="s">
        <v>5</v>
      </c>
      <c r="I4" s="28" t="s">
        <v>6</v>
      </c>
      <c r="J4" s="28"/>
      <c r="K4" s="28"/>
      <c r="L4" s="1" t="s">
        <v>7</v>
      </c>
      <c r="M4" s="1" t="s">
        <v>8</v>
      </c>
    </row>
    <row r="5" spans="1:13">
      <c r="A5" s="28"/>
      <c r="B5" s="28"/>
      <c r="C5" s="1" t="s">
        <v>9</v>
      </c>
      <c r="D5" s="1" t="s">
        <v>10</v>
      </c>
      <c r="E5" s="1" t="s">
        <v>11</v>
      </c>
      <c r="F5" s="1" t="s">
        <v>12</v>
      </c>
      <c r="G5" s="1" t="s">
        <v>13</v>
      </c>
      <c r="H5" s="28"/>
      <c r="I5" s="1">
        <v>60</v>
      </c>
      <c r="J5" s="1">
        <v>82</v>
      </c>
      <c r="K5" s="1">
        <v>100</v>
      </c>
      <c r="L5" s="1" t="s">
        <v>14</v>
      </c>
      <c r="M5" s="1">
        <v>12.7</v>
      </c>
    </row>
    <row r="6" spans="1:13" ht="18">
      <c r="A6" s="10" t="s">
        <v>15</v>
      </c>
      <c r="B6" s="11">
        <f>B7</f>
        <v>546</v>
      </c>
      <c r="C6" s="11">
        <f t="shared" ref="C6:M6" si="0">C7</f>
        <v>22</v>
      </c>
      <c r="D6" s="11">
        <f t="shared" si="0"/>
        <v>289</v>
      </c>
      <c r="E6" s="11">
        <f t="shared" si="0"/>
        <v>27</v>
      </c>
      <c r="F6" s="11">
        <f t="shared" si="0"/>
        <v>6</v>
      </c>
      <c r="G6" s="11">
        <f t="shared" si="0"/>
        <v>54</v>
      </c>
      <c r="H6" s="11">
        <f t="shared" si="0"/>
        <v>1444</v>
      </c>
      <c r="I6" s="11">
        <f t="shared" si="0"/>
        <v>6</v>
      </c>
      <c r="J6" s="11">
        <f t="shared" si="0"/>
        <v>4</v>
      </c>
      <c r="K6" s="11">
        <f t="shared" si="0"/>
        <v>0</v>
      </c>
      <c r="L6" s="11">
        <f t="shared" si="0"/>
        <v>3</v>
      </c>
      <c r="M6" s="11">
        <f t="shared" si="0"/>
        <v>3</v>
      </c>
    </row>
    <row r="7" spans="1:13">
      <c r="A7" s="12" t="s">
        <v>28</v>
      </c>
      <c r="B7" s="13">
        <v>546</v>
      </c>
      <c r="C7" s="13">
        <v>22</v>
      </c>
      <c r="D7" s="13">
        <v>289</v>
      </c>
      <c r="E7" s="13">
        <v>27</v>
      </c>
      <c r="F7" s="13">
        <v>6</v>
      </c>
      <c r="G7" s="13">
        <v>54</v>
      </c>
      <c r="H7" s="13">
        <v>1444</v>
      </c>
      <c r="I7" s="13">
        <v>6</v>
      </c>
      <c r="J7" s="13">
        <v>4</v>
      </c>
      <c r="K7" s="13">
        <v>0</v>
      </c>
      <c r="L7" s="13">
        <v>3</v>
      </c>
      <c r="M7" s="13">
        <v>3</v>
      </c>
    </row>
    <row r="8" spans="1:13" ht="18">
      <c r="A8" s="10" t="s">
        <v>29</v>
      </c>
      <c r="B8" s="11">
        <f>SUM(B9:B18)</f>
        <v>335</v>
      </c>
      <c r="C8" s="11">
        <f t="shared" ref="C8:M8" si="1">SUM(C9:C18)</f>
        <v>14</v>
      </c>
      <c r="D8" s="11">
        <f t="shared" si="1"/>
        <v>150</v>
      </c>
      <c r="E8" s="11">
        <f t="shared" si="1"/>
        <v>0</v>
      </c>
      <c r="F8" s="11">
        <f t="shared" si="1"/>
        <v>0</v>
      </c>
      <c r="G8" s="11">
        <f t="shared" si="1"/>
        <v>0</v>
      </c>
      <c r="H8" s="11">
        <f t="shared" si="1"/>
        <v>629</v>
      </c>
      <c r="I8" s="11">
        <f t="shared" si="1"/>
        <v>0</v>
      </c>
      <c r="J8" s="11">
        <f t="shared" si="1"/>
        <v>0</v>
      </c>
      <c r="K8" s="11">
        <f t="shared" si="1"/>
        <v>4</v>
      </c>
      <c r="L8" s="11">
        <f t="shared" si="1"/>
        <v>6</v>
      </c>
      <c r="M8" s="11">
        <f t="shared" si="1"/>
        <v>6</v>
      </c>
    </row>
    <row r="9" spans="1:13">
      <c r="A9" s="12" t="s">
        <v>30</v>
      </c>
      <c r="B9" s="13">
        <v>74</v>
      </c>
      <c r="C9" s="13">
        <v>4</v>
      </c>
      <c r="D9" s="13">
        <v>30</v>
      </c>
      <c r="E9" s="13"/>
      <c r="F9" s="13"/>
      <c r="G9" s="13"/>
      <c r="H9" s="13">
        <v>139</v>
      </c>
      <c r="I9" s="13"/>
      <c r="J9" s="13"/>
      <c r="K9" s="13">
        <v>4</v>
      </c>
      <c r="L9" s="13"/>
      <c r="M9" s="13"/>
    </row>
    <row r="10" spans="1:13">
      <c r="A10" s="12" t="s">
        <v>31</v>
      </c>
      <c r="B10" s="13">
        <v>69</v>
      </c>
      <c r="C10" s="13">
        <v>4</v>
      </c>
      <c r="D10" s="13">
        <v>26</v>
      </c>
      <c r="E10" s="13"/>
      <c r="F10" s="13"/>
      <c r="G10" s="13"/>
      <c r="H10" s="13">
        <v>130</v>
      </c>
      <c r="I10" s="13"/>
      <c r="J10" s="13"/>
      <c r="K10" s="13"/>
      <c r="L10" s="13">
        <v>6</v>
      </c>
      <c r="M10" s="13"/>
    </row>
    <row r="11" spans="1:13" ht="18">
      <c r="A11" s="12" t="s">
        <v>32</v>
      </c>
      <c r="B11" s="13">
        <v>82</v>
      </c>
      <c r="C11" s="13">
        <v>4</v>
      </c>
      <c r="D11" s="13">
        <v>26</v>
      </c>
      <c r="E11" s="13"/>
      <c r="F11" s="13"/>
      <c r="G11" s="13"/>
      <c r="H11" s="13">
        <v>156</v>
      </c>
      <c r="I11" s="13"/>
      <c r="J11" s="13"/>
      <c r="K11" s="13"/>
      <c r="L11" s="13"/>
      <c r="M11" s="13">
        <v>6</v>
      </c>
    </row>
    <row r="12" spans="1:13">
      <c r="A12" s="12" t="s">
        <v>33</v>
      </c>
      <c r="B12" s="13">
        <v>28</v>
      </c>
      <c r="C12" s="13"/>
      <c r="D12" s="13">
        <v>10</v>
      </c>
      <c r="E12" s="13"/>
      <c r="F12" s="13"/>
      <c r="G12" s="13"/>
      <c r="H12" s="13">
        <v>56</v>
      </c>
      <c r="I12" s="13"/>
      <c r="J12" s="13"/>
      <c r="K12" s="13"/>
      <c r="L12" s="13"/>
      <c r="M12" s="13"/>
    </row>
    <row r="13" spans="1:13">
      <c r="A13" s="14" t="s">
        <v>34</v>
      </c>
      <c r="B13" s="15">
        <v>3</v>
      </c>
      <c r="C13" s="15"/>
      <c r="D13" s="15">
        <v>0</v>
      </c>
      <c r="E13" s="15"/>
      <c r="F13" s="15"/>
      <c r="G13" s="15"/>
      <c r="H13" s="15">
        <v>0</v>
      </c>
      <c r="I13" s="15"/>
      <c r="J13" s="15"/>
      <c r="K13" s="15"/>
      <c r="L13" s="15"/>
      <c r="M13" s="15"/>
    </row>
    <row r="14" spans="1:13">
      <c r="A14" s="14" t="s">
        <v>35</v>
      </c>
      <c r="B14" s="15">
        <v>9</v>
      </c>
      <c r="C14" s="15"/>
      <c r="D14" s="15">
        <v>2</v>
      </c>
      <c r="E14" s="15"/>
      <c r="F14" s="15"/>
      <c r="G14" s="15"/>
      <c r="H14" s="15">
        <v>8</v>
      </c>
      <c r="I14" s="15"/>
      <c r="J14" s="15"/>
      <c r="K14" s="15"/>
      <c r="L14" s="15"/>
      <c r="M14" s="15"/>
    </row>
    <row r="15" spans="1:13">
      <c r="A15" s="14" t="s">
        <v>36</v>
      </c>
      <c r="B15" s="15">
        <v>26</v>
      </c>
      <c r="C15" s="15">
        <v>2</v>
      </c>
      <c r="D15" s="15">
        <v>24</v>
      </c>
      <c r="E15" s="15"/>
      <c r="F15" s="15"/>
      <c r="G15" s="15"/>
      <c r="H15" s="15">
        <v>52</v>
      </c>
      <c r="I15" s="15"/>
      <c r="J15" s="15"/>
      <c r="K15" s="15"/>
      <c r="L15" s="15"/>
      <c r="M15" s="15"/>
    </row>
    <row r="16" spans="1:13">
      <c r="A16" s="12" t="s">
        <v>37</v>
      </c>
      <c r="B16" s="13">
        <v>32</v>
      </c>
      <c r="C16" s="13"/>
      <c r="D16" s="13">
        <v>22</v>
      </c>
      <c r="E16" s="13"/>
      <c r="F16" s="13"/>
      <c r="G16" s="13"/>
      <c r="H16" s="13">
        <v>64</v>
      </c>
      <c r="I16" s="13"/>
      <c r="J16" s="13"/>
      <c r="K16" s="13"/>
      <c r="L16" s="13"/>
      <c r="M16" s="13"/>
    </row>
    <row r="17" spans="1:13">
      <c r="A17" s="16" t="s">
        <v>38</v>
      </c>
      <c r="B17" s="17">
        <v>3</v>
      </c>
      <c r="C17" s="17"/>
      <c r="D17" s="17">
        <v>1</v>
      </c>
      <c r="E17" s="17"/>
      <c r="F17" s="17"/>
      <c r="G17" s="17"/>
      <c r="H17" s="17">
        <v>6</v>
      </c>
      <c r="I17" s="17"/>
      <c r="J17" s="17"/>
      <c r="K17" s="17"/>
      <c r="L17" s="17"/>
      <c r="M17" s="17"/>
    </row>
    <row r="18" spans="1:13">
      <c r="A18" s="18" t="s">
        <v>39</v>
      </c>
      <c r="B18" s="19">
        <v>9</v>
      </c>
      <c r="C18" s="19"/>
      <c r="D18" s="19">
        <v>9</v>
      </c>
      <c r="E18" s="19"/>
      <c r="F18" s="19"/>
      <c r="G18" s="19"/>
      <c r="H18" s="19">
        <v>18</v>
      </c>
      <c r="I18" s="19"/>
      <c r="J18" s="19"/>
      <c r="K18" s="19"/>
      <c r="L18" s="19"/>
      <c r="M18" s="19"/>
    </row>
    <row r="19" spans="1:13">
      <c r="A19" s="20" t="s">
        <v>26</v>
      </c>
      <c r="B19" s="21">
        <f>B6+B8</f>
        <v>881</v>
      </c>
      <c r="C19" s="21">
        <f t="shared" ref="C19:M19" si="2">C6+C8</f>
        <v>36</v>
      </c>
      <c r="D19" s="21">
        <f t="shared" si="2"/>
        <v>439</v>
      </c>
      <c r="E19" s="21">
        <f t="shared" si="2"/>
        <v>27</v>
      </c>
      <c r="F19" s="21">
        <f t="shared" si="2"/>
        <v>6</v>
      </c>
      <c r="G19" s="21">
        <f t="shared" si="2"/>
        <v>54</v>
      </c>
      <c r="H19" s="21">
        <f t="shared" si="2"/>
        <v>2073</v>
      </c>
      <c r="I19" s="21">
        <f t="shared" si="2"/>
        <v>6</v>
      </c>
      <c r="J19" s="21">
        <f t="shared" si="2"/>
        <v>4</v>
      </c>
      <c r="K19" s="21">
        <f t="shared" si="2"/>
        <v>4</v>
      </c>
      <c r="L19" s="21">
        <f t="shared" si="2"/>
        <v>9</v>
      </c>
      <c r="M19" s="21">
        <f t="shared" si="2"/>
        <v>9</v>
      </c>
    </row>
  </sheetData>
  <mergeCells count="7">
    <mergeCell ref="A1:M2"/>
    <mergeCell ref="A3:A5"/>
    <mergeCell ref="B3:B5"/>
    <mergeCell ref="C3:M3"/>
    <mergeCell ref="C4:G4"/>
    <mergeCell ref="H4:H5"/>
    <mergeCell ref="I4:K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76F58-BBC1-4BAD-8576-583DC692D30D}">
  <dimension ref="A1:I7"/>
  <sheetViews>
    <sheetView tabSelected="1" workbookViewId="0">
      <selection activeCell="G5" sqref="G5"/>
    </sheetView>
  </sheetViews>
  <sheetFormatPr defaultRowHeight="14.5"/>
  <sheetData>
    <row r="1" spans="1:9">
      <c r="A1" s="29" t="s">
        <v>40</v>
      </c>
      <c r="B1" s="29" t="s">
        <v>41</v>
      </c>
      <c r="C1" s="29" t="s">
        <v>42</v>
      </c>
      <c r="D1" s="30" t="s">
        <v>43</v>
      </c>
      <c r="E1" s="31"/>
      <c r="F1" s="31"/>
      <c r="G1" s="32"/>
      <c r="H1" s="33" t="s">
        <v>44</v>
      </c>
      <c r="I1" s="33" t="s">
        <v>45</v>
      </c>
    </row>
    <row r="2" spans="1:9">
      <c r="A2" s="34"/>
      <c r="B2" s="34"/>
      <c r="C2" s="34"/>
      <c r="D2" s="35" t="s">
        <v>46</v>
      </c>
      <c r="E2" s="35" t="s">
        <v>47</v>
      </c>
      <c r="F2" s="35" t="s">
        <v>48</v>
      </c>
      <c r="G2" s="35" t="s">
        <v>49</v>
      </c>
      <c r="H2" s="36"/>
      <c r="I2" s="36"/>
    </row>
    <row r="3" spans="1:9">
      <c r="A3" s="37" t="s">
        <v>9</v>
      </c>
      <c r="B3" s="37" t="s">
        <v>50</v>
      </c>
      <c r="C3" s="37"/>
      <c r="D3" s="38">
        <v>35</v>
      </c>
      <c r="E3" s="37" t="e">
        <f>D3/C3</f>
        <v>#DIV/0!</v>
      </c>
      <c r="F3" s="37">
        <f>G3/D3</f>
        <v>0.97142857142857142</v>
      </c>
      <c r="G3" s="38">
        <v>34</v>
      </c>
      <c r="H3" s="38"/>
      <c r="I3" s="37">
        <f>C3-D3</f>
        <v>-35</v>
      </c>
    </row>
    <row r="4" spans="1:9">
      <c r="A4" s="37" t="s">
        <v>10</v>
      </c>
      <c r="B4" s="37" t="s">
        <v>50</v>
      </c>
      <c r="C4" s="37"/>
      <c r="D4" s="38">
        <v>439</v>
      </c>
      <c r="E4" s="37" t="e">
        <f>D4/C4</f>
        <v>#DIV/0!</v>
      </c>
      <c r="F4" s="37">
        <f t="shared" ref="F4:F7" si="0">G4/D4</f>
        <v>0.99772209567198178</v>
      </c>
      <c r="G4" s="38">
        <v>438</v>
      </c>
      <c r="H4" s="38"/>
      <c r="I4" s="37">
        <f>C4-D4</f>
        <v>-439</v>
      </c>
    </row>
    <row r="5" spans="1:9">
      <c r="A5" s="37" t="s">
        <v>52</v>
      </c>
      <c r="B5" s="37" t="s">
        <v>50</v>
      </c>
      <c r="C5" s="37"/>
      <c r="D5" s="38">
        <v>27</v>
      </c>
      <c r="E5" s="37" t="e">
        <f>D5/C5</f>
        <v>#DIV/0!</v>
      </c>
      <c r="F5" s="37">
        <f t="shared" si="0"/>
        <v>1</v>
      </c>
      <c r="G5" s="38">
        <v>27</v>
      </c>
      <c r="H5" s="38"/>
      <c r="I5" s="37">
        <f t="shared" ref="I4:I7" si="1">C5-D5</f>
        <v>-27</v>
      </c>
    </row>
    <row r="6" spans="1:9">
      <c r="A6" s="37" t="s">
        <v>53</v>
      </c>
      <c r="B6" s="37" t="s">
        <v>50</v>
      </c>
      <c r="C6" s="37"/>
      <c r="D6" s="38">
        <v>6</v>
      </c>
      <c r="E6" s="37" t="e">
        <f>D6/C6</f>
        <v>#DIV/0!</v>
      </c>
      <c r="F6" s="37">
        <f t="shared" si="0"/>
        <v>0.83333333333333337</v>
      </c>
      <c r="G6" s="38">
        <v>5</v>
      </c>
      <c r="H6" s="38"/>
      <c r="I6" s="37">
        <f t="shared" si="1"/>
        <v>-6</v>
      </c>
    </row>
    <row r="7" spans="1:9">
      <c r="A7" s="37" t="s">
        <v>5</v>
      </c>
      <c r="B7" s="37" t="s">
        <v>51</v>
      </c>
      <c r="C7" s="37"/>
      <c r="D7" s="38">
        <v>2073</v>
      </c>
      <c r="E7" s="37" t="e">
        <f>D7/C7</f>
        <v>#DIV/0!</v>
      </c>
      <c r="F7" s="37">
        <f t="shared" si="0"/>
        <v>1</v>
      </c>
      <c r="G7" s="38">
        <v>2073</v>
      </c>
      <c r="H7" s="38"/>
      <c r="I7" s="37">
        <f t="shared" si="1"/>
        <v>-2073</v>
      </c>
    </row>
  </sheetData>
  <mergeCells count="6">
    <mergeCell ref="A1:A2"/>
    <mergeCell ref="B1:B2"/>
    <mergeCell ref="C1:C2"/>
    <mergeCell ref="D1:G1"/>
    <mergeCell ref="H1:H2"/>
    <mergeCell ref="I1:I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Thế Nguyên</dc:creator>
  <cp:lastModifiedBy>Vũ Thế Nguyên</cp:lastModifiedBy>
  <dcterms:created xsi:type="dcterms:W3CDTF">2025-12-02T15:26:56Z</dcterms:created>
  <dcterms:modified xsi:type="dcterms:W3CDTF">2025-12-22T14:59:27Z</dcterms:modified>
</cp:coreProperties>
</file>