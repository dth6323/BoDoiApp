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denew\Resources\Sheet\"/>
    </mc:Choice>
  </mc:AlternateContent>
  <xr:revisionPtr revIDLastSave="0" documentId="13_ncr:1_{5A8A5611-4765-4084-848A-C83EEDCCE4C6}" xr6:coauthVersionLast="47" xr6:coauthVersionMax="47" xr10:uidLastSave="{00000000-0000-0000-0000-000000000000}"/>
  <bookViews>
    <workbookView xWindow="-120" yWindow="-120" windowWidth="29040" windowHeight="17640" activeTab="6" xr2:uid="{FCE59EA9-790B-433B-B511-234C9C16BD72}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  <sheet name="Sheet6" sheetId="6" r:id="rId6"/>
    <sheet name="Sheet7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4" l="1"/>
  <c r="C7" i="4"/>
  <c r="E6" i="4"/>
  <c r="E5" i="4"/>
  <c r="E4" i="4"/>
  <c r="E3" i="4"/>
  <c r="E7" i="4" s="1"/>
  <c r="E2" i="4"/>
  <c r="B6" i="1" l="1"/>
  <c r="C6" i="1"/>
  <c r="D6" i="1"/>
  <c r="E6" i="1"/>
  <c r="F6" i="1"/>
  <c r="G6" i="1"/>
  <c r="H6" i="1"/>
  <c r="I6" i="1"/>
  <c r="F11" i="7"/>
  <c r="F15" i="7"/>
  <c r="F13" i="7" s="1"/>
  <c r="F16" i="7"/>
  <c r="F14" i="7"/>
  <c r="E13" i="7"/>
  <c r="D13" i="7"/>
  <c r="C13" i="7"/>
  <c r="F12" i="7"/>
  <c r="F10" i="7"/>
  <c r="F9" i="7"/>
  <c r="F8" i="7"/>
  <c r="F7" i="7"/>
  <c r="F5" i="7" s="1"/>
  <c r="F6" i="7"/>
  <c r="E5" i="7"/>
  <c r="D5" i="7"/>
  <c r="C5" i="7"/>
  <c r="M8" i="6"/>
  <c r="L8" i="6"/>
  <c r="K8" i="6"/>
  <c r="J8" i="6"/>
  <c r="I8" i="6"/>
  <c r="H8" i="6"/>
  <c r="G8" i="6"/>
  <c r="F8" i="6"/>
  <c r="E8" i="6"/>
  <c r="D8" i="6"/>
  <c r="C8" i="6"/>
  <c r="B8" i="6"/>
  <c r="M6" i="6"/>
  <c r="M19" i="6" s="1"/>
  <c r="L6" i="6"/>
  <c r="L19" i="6" s="1"/>
  <c r="K6" i="6"/>
  <c r="K19" i="6" s="1"/>
  <c r="J6" i="6"/>
  <c r="J19" i="6" s="1"/>
  <c r="I6" i="6"/>
  <c r="I19" i="6" s="1"/>
  <c r="H6" i="6"/>
  <c r="H19" i="6" s="1"/>
  <c r="G6" i="6"/>
  <c r="F6" i="6"/>
  <c r="F19" i="6" s="1"/>
  <c r="E6" i="6"/>
  <c r="E19" i="6" s="1"/>
  <c r="D6" i="6"/>
  <c r="C6" i="6"/>
  <c r="C19" i="6" s="1"/>
  <c r="B6" i="6"/>
  <c r="B19" i="6" s="1"/>
  <c r="E7" i="3"/>
  <c r="E6" i="3"/>
  <c r="E5" i="3"/>
  <c r="E4" i="3"/>
  <c r="E3" i="3"/>
  <c r="I4" i="3"/>
  <c r="I7" i="3"/>
  <c r="F7" i="3"/>
  <c r="F6" i="3"/>
  <c r="I6" i="3"/>
  <c r="I5" i="3"/>
  <c r="F5" i="3"/>
  <c r="F4" i="3"/>
  <c r="I3" i="3"/>
  <c r="F3" i="3"/>
  <c r="M8" i="2"/>
  <c r="L8" i="2"/>
  <c r="K8" i="2"/>
  <c r="J8" i="2"/>
  <c r="I8" i="2"/>
  <c r="H8" i="2"/>
  <c r="G8" i="2"/>
  <c r="F8" i="2"/>
  <c r="E8" i="2"/>
  <c r="D8" i="2"/>
  <c r="C8" i="2"/>
  <c r="B8" i="2"/>
  <c r="M6" i="2"/>
  <c r="M19" i="2" s="1"/>
  <c r="L6" i="2"/>
  <c r="K6" i="2"/>
  <c r="K19" i="2" s="1"/>
  <c r="J6" i="2"/>
  <c r="J19" i="2" s="1"/>
  <c r="I6" i="2"/>
  <c r="H6" i="2"/>
  <c r="G6" i="2"/>
  <c r="G19" i="2" s="1"/>
  <c r="F6" i="2"/>
  <c r="F19" i="2" s="1"/>
  <c r="E6" i="2"/>
  <c r="E19" i="2" s="1"/>
  <c r="D6" i="2"/>
  <c r="D19" i="2" s="1"/>
  <c r="C6" i="2"/>
  <c r="C19" i="2" s="1"/>
  <c r="B6" i="2"/>
  <c r="B19" i="2" s="1"/>
  <c r="J6" i="1"/>
  <c r="K6" i="1"/>
  <c r="L6" i="1"/>
  <c r="M6" i="1"/>
  <c r="C17" i="1"/>
  <c r="M8" i="1"/>
  <c r="M17" i="1" s="1"/>
  <c r="L8" i="1"/>
  <c r="L17" i="1" s="1"/>
  <c r="K8" i="1"/>
  <c r="K17" i="1" s="1"/>
  <c r="J8" i="1"/>
  <c r="J17" i="1" s="1"/>
  <c r="I8" i="1"/>
  <c r="I17" i="1" s="1"/>
  <c r="H8" i="1"/>
  <c r="H17" i="1" s="1"/>
  <c r="G8" i="1"/>
  <c r="G17" i="1" s="1"/>
  <c r="F8" i="1"/>
  <c r="F17" i="1" s="1"/>
  <c r="E8" i="1"/>
  <c r="E17" i="1" s="1"/>
  <c r="D8" i="1"/>
  <c r="D17" i="1" s="1"/>
  <c r="C8" i="1"/>
  <c r="B8" i="1"/>
  <c r="B17" i="1" s="1"/>
  <c r="D19" i="6" l="1"/>
  <c r="L19" i="2"/>
  <c r="G19" i="6"/>
  <c r="I19" i="2"/>
  <c r="H19" i="2"/>
</calcChain>
</file>

<file path=xl/sharedStrings.xml><?xml version="1.0" encoding="utf-8"?>
<sst xmlns="http://schemas.openxmlformats.org/spreadsheetml/2006/main" count="173" uniqueCount="94">
  <si>
    <t>TỔ CHỨC BIÊN CHẾ, TRANG BỊ HƯỚNG CHỦ YẾU</t>
  </si>
  <si>
    <t>LỰC LƯỢNG</t>
  </si>
  <si>
    <t>QUÂN SỐ</t>
  </si>
  <si>
    <t>TRANG BỊ KỸ THUẬT</t>
  </si>
  <si>
    <t>Vũ khí bộ binh</t>
  </si>
  <si>
    <t>Lựu đạn</t>
  </si>
  <si>
    <t>Cối</t>
  </si>
  <si>
    <t>PCT</t>
  </si>
  <si>
    <t>Pháo PK</t>
  </si>
  <si>
    <t>SN</t>
  </si>
  <si>
    <t>TL</t>
  </si>
  <si>
    <t>TrL</t>
  </si>
  <si>
    <t>ĐL</t>
  </si>
  <si>
    <t>B41, M79</t>
  </si>
  <si>
    <t>SPG9</t>
  </si>
  <si>
    <t>1. Trong biên chế</t>
  </si>
  <si>
    <t>cBB1</t>
  </si>
  <si>
    <t>2. LL tăng cường</t>
  </si>
  <si>
    <t>1 b SPG-9/d</t>
  </si>
  <si>
    <t>cCo82(-)/d</t>
  </si>
  <si>
    <t>b SMPK 12,7mm/d</t>
  </si>
  <si>
    <t>cBB3 (-)</t>
  </si>
  <si>
    <t>Y tá/d</t>
  </si>
  <si>
    <t>Nuôi quân của cBB1</t>
  </si>
  <si>
    <t>Nuôi quân của cBB3 (-)</t>
  </si>
  <si>
    <t>a VTB</t>
  </si>
  <si>
    <t>Tổng</t>
  </si>
  <si>
    <t>TỔ CHỨC BIÊN CHẾ, TRANG BỊ TIỂU ĐOÀN BỘ BINH TIẾN CÔNG RỪNG NÚI</t>
  </si>
  <si>
    <t>dBB</t>
  </si>
  <si>
    <t>2. LL phối thuộc</t>
  </si>
  <si>
    <t>1 cO100/e</t>
  </si>
  <si>
    <t>1 cSPG-9/e</t>
  </si>
  <si>
    <t>1 cSMPK 12,7mm/e</t>
  </si>
  <si>
    <t>1b VTB/e</t>
  </si>
  <si>
    <t>1 tổ QY/e</t>
  </si>
  <si>
    <t>1 aHH/f</t>
  </si>
  <si>
    <t>2 PĐ TS/e</t>
  </si>
  <si>
    <t>1 b CB</t>
  </si>
  <si>
    <t>1 tổ SC/e</t>
  </si>
  <si>
    <t>1a TT/e</t>
  </si>
  <si>
    <t>Loại TBKT</t>
  </si>
  <si>
    <t>ĐVT</t>
  </si>
  <si>
    <t>Nhu cầu</t>
  </si>
  <si>
    <t>Hiện có</t>
  </si>
  <si>
    <t>PC TQĐ</t>
  </si>
  <si>
    <t>Bổ sung</t>
  </si>
  <si>
    <t>+</t>
  </si>
  <si>
    <t>Kbđ</t>
  </si>
  <si>
    <t>Kt</t>
  </si>
  <si>
    <t>Số tốt</t>
  </si>
  <si>
    <t>Khẩu</t>
  </si>
  <si>
    <t>Quả</t>
  </si>
  <si>
    <t>Trl</t>
  </si>
  <si>
    <t>DL</t>
  </si>
  <si>
    <t>Loại vật chất</t>
  </si>
  <si>
    <t>Tấn</t>
  </si>
  <si>
    <t>Quân nhu</t>
  </si>
  <si>
    <t>Quân y</t>
  </si>
  <si>
    <t>Doanh trại</t>
  </si>
  <si>
    <t>Cộng</t>
  </si>
  <si>
    <t>TT</t>
  </si>
  <si>
    <t>PC SCĐ</t>
  </si>
  <si>
    <t>Kho d</t>
  </si>
  <si>
    <t>Đơn vị</t>
  </si>
  <si>
    <t>Nội dung</t>
  </si>
  <si>
    <t>Quân số</t>
  </si>
  <si>
    <t>Vũ khí trang bị kỹ thuật</t>
  </si>
  <si>
    <t>Phân chia lực lượng</t>
  </si>
  <si>
    <t>SQ</t>
  </si>
  <si>
    <t>QNCN</t>
  </si>
  <si>
    <t>HSQ-BS</t>
  </si>
  <si>
    <t>Vũ khí</t>
  </si>
  <si>
    <t>Xe-máy</t>
  </si>
  <si>
    <t>TB khác</t>
  </si>
  <si>
    <t>Bộ phận HC-KT</t>
  </si>
  <si>
    <t>Lực lượng tăng cường cho đơn vị</t>
  </si>
  <si>
    <t>QS</t>
  </si>
  <si>
    <t>TB</t>
  </si>
  <si>
    <t>Phân đội HC-KT</t>
  </si>
  <si>
    <t>-</t>
  </si>
  <si>
    <t>TLHC/d</t>
  </si>
  <si>
    <t>NVQK</t>
  </si>
  <si>
    <t>NVQN</t>
  </si>
  <si>
    <t>NVKT</t>
  </si>
  <si>
    <t>QY/d</t>
  </si>
  <si>
    <t>bVTB/d</t>
  </si>
  <si>
    <t>bPV/d</t>
  </si>
  <si>
    <t>LL tăng cường</t>
  </si>
  <si>
    <t>QY/e</t>
  </si>
  <si>
    <t>bVTB/e</t>
  </si>
  <si>
    <t>Tổ SC/e</t>
  </si>
  <si>
    <t>Loại VC</t>
  </si>
  <si>
    <t>Đạn, lựu đạn</t>
  </si>
  <si>
    <t>Vật tư kỹ thuật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</si>
</sst>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Calibri"/>
      <family val="2"/>
      <scheme val="minor"/>
    </font>
    <font>
      <b/>
      <sz val="8"/>
      <color theme="1"/>
      <name val="#9Slide02 Tieu de rat dai 01"/>
      <charset val="163"/>
    </font>
    <font>
      <b/>
      <sz val="8"/>
      <color theme="1"/>
      <name val="Times New Roman"/>
      <family val="1"/>
      <charset val="163"/>
    </font>
    <font>
      <sz val="8"/>
      <color theme="1"/>
      <name val="Times New Roman"/>
      <family val="1"/>
      <charset val="163"/>
    </font>
    <font>
      <sz val="8"/>
      <name val="Times New Roman"/>
      <family val="1"/>
      <charset val="163"/>
    </font>
    <font>
      <b/>
      <sz val="8"/>
      <color rgb="FFFF0000"/>
      <name val="Times New Roman"/>
      <family val="1"/>
      <charset val="163"/>
    </font>
    <font>
      <b/>
      <sz val="7"/>
      <color theme="1"/>
      <name val="Times New Roman"/>
      <family val="1"/>
      <charset val="163"/>
    </font>
    <font>
      <sz val="7"/>
      <color theme="1"/>
      <name val="Times New Roman"/>
      <family val="1"/>
      <charset val="163"/>
    </font>
    <font>
      <sz val="7"/>
      <name val="Times New Roman"/>
      <family val="1"/>
      <charset val="163"/>
    </font>
    <font>
      <sz val="7"/>
      <color theme="1"/>
      <name val="Times New Roman"/>
      <family val="1"/>
    </font>
    <font>
      <sz val="7"/>
      <color theme="1"/>
      <name val="Calibri"/>
      <family val="2"/>
      <charset val="163"/>
      <scheme val="minor"/>
    </font>
    <font>
      <b/>
      <sz val="7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83">
    <xf numFmtId="0" fontId="0" fillId="0" borderId="0" xfId="0"/>
    <xf numFmtId="0" fontId="1" fillId="3" borderId="7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justify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7" xfId="0" applyFont="1" applyBorder="1" applyAlignment="1">
      <alignment vertical="center" wrapText="1"/>
    </xf>
    <xf numFmtId="0" fontId="4" fillId="0" borderId="7" xfId="0" applyFont="1" applyBorder="1" applyAlignment="1">
      <alignment vertical="center" wrapText="1"/>
    </xf>
    <xf numFmtId="0" fontId="4" fillId="0" borderId="7" xfId="0" applyFont="1" applyBorder="1" applyAlignment="1">
      <alignment horizontal="center" vertical="center" wrapText="1"/>
    </xf>
    <xf numFmtId="0" fontId="5" fillId="5" borderId="7" xfId="0" applyFont="1" applyFill="1" applyBorder="1" applyAlignment="1">
      <alignment vertical="center"/>
    </xf>
    <xf numFmtId="0" fontId="5" fillId="5" borderId="7" xfId="0" applyFont="1" applyFill="1" applyBorder="1" applyAlignment="1">
      <alignment horizontal="center" vertical="center"/>
    </xf>
    <xf numFmtId="0" fontId="6" fillId="4" borderId="7" xfId="0" applyFont="1" applyFill="1" applyBorder="1" applyAlignment="1">
      <alignment horizontal="left" vertical="center" wrapText="1"/>
    </xf>
    <xf numFmtId="0" fontId="6" fillId="4" borderId="7" xfId="0" applyFont="1" applyFill="1" applyBorder="1" applyAlignment="1">
      <alignment horizontal="center" vertical="center" wrapText="1"/>
    </xf>
    <xf numFmtId="0" fontId="7" fillId="0" borderId="7" xfId="0" applyFont="1" applyBorder="1" applyAlignment="1">
      <alignment horizontal="left" vertical="center" wrapText="1"/>
    </xf>
    <xf numFmtId="0" fontId="7" fillId="0" borderId="7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left" vertical="center" wrapText="1"/>
    </xf>
    <xf numFmtId="0" fontId="8" fillId="0" borderId="7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/>
    </xf>
    <xf numFmtId="0" fontId="10" fillId="0" borderId="7" xfId="0" applyFont="1" applyBorder="1" applyAlignment="1">
      <alignment horizontal="left" vertical="center"/>
    </xf>
    <xf numFmtId="0" fontId="10" fillId="0" borderId="7" xfId="0" applyFont="1" applyBorder="1" applyAlignment="1">
      <alignment horizontal="center" vertical="center"/>
    </xf>
    <xf numFmtId="0" fontId="11" fillId="6" borderId="7" xfId="0" applyFont="1" applyFill="1" applyBorder="1" applyAlignment="1">
      <alignment horizontal="left" vertical="center"/>
    </xf>
    <xf numFmtId="0" fontId="11" fillId="6" borderId="7" xfId="0" applyFont="1" applyFill="1" applyBorder="1" applyAlignment="1">
      <alignment horizontal="center" vertical="center"/>
    </xf>
    <xf numFmtId="0" fontId="12" fillId="6" borderId="7" xfId="0" applyFont="1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13" fillId="3" borderId="7" xfId="0" applyFont="1" applyFill="1" applyBorder="1" applyAlignment="1">
      <alignment horizontal="center" vertical="center" wrapText="1"/>
    </xf>
    <xf numFmtId="0" fontId="13" fillId="3" borderId="7" xfId="0" applyFont="1" applyFill="1" applyBorder="1" applyAlignment="1">
      <alignment horizontal="center" vertical="center"/>
    </xf>
    <xf numFmtId="0" fontId="14" fillId="3" borderId="7" xfId="0" applyFont="1" applyFill="1" applyBorder="1" applyAlignment="1">
      <alignment horizontal="center" vertical="center"/>
    </xf>
    <xf numFmtId="0" fontId="12" fillId="3" borderId="7" xfId="0" applyFont="1" applyFill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0" fillId="0" borderId="7" xfId="0" applyBorder="1"/>
    <xf numFmtId="0" fontId="12" fillId="0" borderId="0" xfId="0" applyFont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2" fillId="0" borderId="13" xfId="0" applyFont="1" applyBorder="1" applyAlignment="1">
      <alignment horizontal="center" vertical="center"/>
    </xf>
    <xf numFmtId="0" fontId="15" fillId="0" borderId="8" xfId="0" applyFont="1" applyBorder="1" applyAlignment="1">
      <alignment horizontal="center" vertical="center"/>
    </xf>
    <xf numFmtId="0" fontId="12" fillId="0" borderId="8" xfId="0" applyFont="1" applyBorder="1" applyAlignment="1">
      <alignment horizontal="center" vertical="center"/>
    </xf>
    <xf numFmtId="0" fontId="12" fillId="0" borderId="7" xfId="0" applyFont="1" applyBorder="1" applyAlignment="1">
      <alignment vertical="center"/>
    </xf>
    <xf numFmtId="0" fontId="15" fillId="0" borderId="7" xfId="0" applyFont="1" applyBorder="1" applyAlignment="1">
      <alignment horizontal="center"/>
    </xf>
    <xf numFmtId="0" fontId="12" fillId="0" borderId="7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8" borderId="7" xfId="0" applyFill="1" applyBorder="1"/>
    <xf numFmtId="4" fontId="0" fillId="8" borderId="7" xfId="0" applyNumberFormat="1" applyFill="1" applyBorder="1"/>
    <xf numFmtId="2" fontId="0" fillId="8" borderId="7" xfId="0" applyNumberFormat="1" applyFill="1" applyBorder="1"/>
    <xf numFmtId="0" fontId="12" fillId="8" borderId="7" xfId="0" applyFont="1" applyFill="1" applyBorder="1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 wrapText="1"/>
    </xf>
    <xf numFmtId="0" fontId="12" fillId="6" borderId="8" xfId="0" applyFont="1" applyFill="1" applyBorder="1" applyAlignment="1">
      <alignment horizontal="center" vertical="center"/>
    </xf>
    <xf numFmtId="0" fontId="12" fillId="6" borderId="12" xfId="0" applyFont="1" applyFill="1" applyBorder="1" applyAlignment="1">
      <alignment horizontal="center" vertical="center"/>
    </xf>
    <xf numFmtId="0" fontId="12" fillId="6" borderId="8" xfId="0" applyFont="1" applyFill="1" applyBorder="1" applyAlignment="1">
      <alignment horizontal="center" vertical="center" wrapText="1"/>
    </xf>
    <xf numFmtId="0" fontId="12" fillId="6" borderId="12" xfId="0" applyFont="1" applyFill="1" applyBorder="1" applyAlignment="1">
      <alignment horizontal="center" vertical="center" wrapText="1"/>
    </xf>
    <xf numFmtId="0" fontId="12" fillId="6" borderId="9" xfId="0" applyFont="1" applyFill="1" applyBorder="1" applyAlignment="1">
      <alignment horizontal="center" vertical="center"/>
    </xf>
    <xf numFmtId="0" fontId="12" fillId="6" borderId="10" xfId="0" applyFont="1" applyFill="1" applyBorder="1" applyAlignment="1">
      <alignment horizontal="center" vertical="center"/>
    </xf>
    <xf numFmtId="0" fontId="12" fillId="6" borderId="11" xfId="0" applyFont="1" applyFill="1" applyBorder="1" applyAlignment="1">
      <alignment horizontal="center" vertical="center"/>
    </xf>
    <xf numFmtId="0" fontId="12" fillId="3" borderId="8" xfId="0" applyFont="1" applyFill="1" applyBorder="1" applyAlignment="1">
      <alignment horizontal="center" vertical="center" wrapText="1"/>
    </xf>
    <xf numFmtId="0" fontId="12" fillId="3" borderId="12" xfId="0" applyFont="1" applyFill="1" applyBorder="1" applyAlignment="1">
      <alignment horizontal="center" vertical="center" wrapText="1"/>
    </xf>
    <xf numFmtId="0" fontId="13" fillId="3" borderId="8" xfId="0" applyFont="1" applyFill="1" applyBorder="1" applyAlignment="1">
      <alignment horizontal="center" vertical="center" wrapText="1"/>
    </xf>
    <xf numFmtId="0" fontId="13" fillId="3" borderId="12" xfId="0" applyFont="1" applyFill="1" applyBorder="1" applyAlignment="1">
      <alignment horizontal="center" vertical="center" wrapText="1"/>
    </xf>
    <xf numFmtId="0" fontId="13" fillId="3" borderId="9" xfId="0" applyFont="1" applyFill="1" applyBorder="1" applyAlignment="1">
      <alignment horizontal="center" vertical="center"/>
    </xf>
    <xf numFmtId="0" fontId="13" fillId="3" borderId="10" xfId="0" applyFont="1" applyFill="1" applyBorder="1" applyAlignment="1">
      <alignment horizontal="center" vertical="center"/>
    </xf>
    <xf numFmtId="0" fontId="13" fillId="3" borderId="11" xfId="0" applyFont="1" applyFill="1" applyBorder="1" applyAlignment="1">
      <alignment horizontal="center" vertical="center"/>
    </xf>
    <xf numFmtId="0" fontId="12" fillId="3" borderId="9" xfId="0" applyFont="1" applyFill="1" applyBorder="1" applyAlignment="1">
      <alignment horizontal="center" vertical="center"/>
    </xf>
    <xf numFmtId="0" fontId="12" fillId="3" borderId="10" xfId="0" applyFont="1" applyFill="1" applyBorder="1" applyAlignment="1">
      <alignment horizontal="center" vertical="center"/>
    </xf>
    <xf numFmtId="0" fontId="12" fillId="3" borderId="11" xfId="0" applyFont="1" applyFill="1" applyBorder="1" applyAlignment="1">
      <alignment horizontal="center" vertical="center"/>
    </xf>
    <xf numFmtId="0" fontId="12" fillId="0" borderId="8" xfId="0" applyFont="1" applyBorder="1" applyAlignment="1">
      <alignment horizontal="center" vertical="center"/>
    </xf>
    <xf numFmtId="0" fontId="12" fillId="0" borderId="13" xfId="0" applyFont="1" applyBorder="1" applyAlignment="1">
      <alignment horizontal="center" vertical="center"/>
    </xf>
    <xf numFmtId="0" fontId="12" fillId="0" borderId="12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0" fontId="12" fillId="0" borderId="9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2" fillId="0" borderId="11" xfId="0" applyFont="1" applyBorder="1" applyAlignment="1">
      <alignment horizontal="center" vertical="center"/>
    </xf>
  </cellXfs>
  <cellStyles count="1">
    <cellStyle name="Bình thường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ủ đề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73A-C175-4526-B966-989AD58BFBEE}">
  <dimension ref="A1:M17"/>
  <sheetViews>
    <sheetView topLeftCell="A7" workbookViewId="0">
      <selection activeCell="A17" sqref="A17"/>
    </sheetView>
  </sheetViews>
  <sheetFormatPr defaultRowHeight="15"/>
  <sheetData>
    <row r="1" spans="1:13">
      <c r="A1" s="45" t="s">
        <v>0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7"/>
    </row>
    <row r="2" spans="1:13">
      <c r="A2" s="48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50"/>
    </row>
    <row r="3" spans="1:13" ht="13.9" customHeight="1">
      <c r="A3" s="51" t="s">
        <v>1</v>
      </c>
      <c r="B3" s="51" t="s">
        <v>2</v>
      </c>
      <c r="C3" s="51" t="s">
        <v>3</v>
      </c>
      <c r="D3" s="51"/>
      <c r="E3" s="51"/>
      <c r="F3" s="51"/>
      <c r="G3" s="51"/>
      <c r="H3" s="51"/>
      <c r="I3" s="51"/>
      <c r="J3" s="51"/>
      <c r="K3" s="51"/>
      <c r="L3" s="51"/>
      <c r="M3" s="51"/>
    </row>
    <row r="4" spans="1:13">
      <c r="A4" s="51"/>
      <c r="B4" s="51"/>
      <c r="C4" s="51" t="s">
        <v>4</v>
      </c>
      <c r="D4" s="51"/>
      <c r="E4" s="51"/>
      <c r="F4" s="51"/>
      <c r="G4" s="51"/>
      <c r="H4" s="51" t="s">
        <v>5</v>
      </c>
      <c r="I4" s="51" t="s">
        <v>6</v>
      </c>
      <c r="J4" s="51"/>
      <c r="K4" s="51"/>
      <c r="L4" s="1" t="s">
        <v>7</v>
      </c>
      <c r="M4" s="1" t="s">
        <v>8</v>
      </c>
    </row>
    <row r="5" spans="1:13">
      <c r="A5" s="51"/>
      <c r="B5" s="51"/>
      <c r="C5" s="1" t="s">
        <v>9</v>
      </c>
      <c r="D5" s="1" t="s">
        <v>10</v>
      </c>
      <c r="E5" s="1" t="s">
        <v>11</v>
      </c>
      <c r="F5" s="1" t="s">
        <v>12</v>
      </c>
      <c r="G5" s="1" t="s">
        <v>13</v>
      </c>
      <c r="H5" s="51"/>
      <c r="I5" s="1">
        <v>60</v>
      </c>
      <c r="J5" s="1">
        <v>82</v>
      </c>
      <c r="K5" s="1">
        <v>100</v>
      </c>
      <c r="L5" s="1" t="s">
        <v>14</v>
      </c>
      <c r="M5" s="1">
        <v>12.7</v>
      </c>
    </row>
    <row r="6" spans="1:13" ht="21">
      <c r="A6" s="2" t="s">
        <v>15</v>
      </c>
      <c r="B6" s="2">
        <f t="shared" ref="B6:H6" si="0">B7</f>
        <v>1</v>
      </c>
      <c r="C6" s="2">
        <f t="shared" si="0"/>
        <v>1</v>
      </c>
      <c r="D6" s="2">
        <f t="shared" si="0"/>
        <v>1</v>
      </c>
      <c r="E6" s="2">
        <f t="shared" si="0"/>
        <v>0</v>
      </c>
      <c r="F6" s="2">
        <f t="shared" si="0"/>
        <v>0</v>
      </c>
      <c r="G6" s="2">
        <f t="shared" si="0"/>
        <v>0</v>
      </c>
      <c r="H6" s="2">
        <f t="shared" si="0"/>
        <v>0</v>
      </c>
      <c r="I6" s="2">
        <f>I7</f>
        <v>0</v>
      </c>
      <c r="J6" s="2">
        <f t="shared" ref="J6:M6" si="1">J7</f>
        <v>0</v>
      </c>
      <c r="K6" s="2">
        <f t="shared" si="1"/>
        <v>0</v>
      </c>
      <c r="L6" s="2">
        <f t="shared" si="1"/>
        <v>0</v>
      </c>
      <c r="M6" s="2">
        <f t="shared" si="1"/>
        <v>0</v>
      </c>
    </row>
    <row r="7" spans="1:13">
      <c r="A7" s="3" t="s">
        <v>16</v>
      </c>
      <c r="B7" s="4">
        <v>1</v>
      </c>
      <c r="C7" s="4">
        <v>1</v>
      </c>
      <c r="D7" s="4">
        <v>1</v>
      </c>
      <c r="E7" s="4"/>
      <c r="F7" s="4"/>
      <c r="G7" s="4"/>
      <c r="H7" s="4"/>
      <c r="I7" s="4"/>
      <c r="J7" s="4"/>
      <c r="K7" s="4"/>
      <c r="L7" s="4"/>
      <c r="M7" s="4"/>
    </row>
    <row r="8" spans="1:13" ht="21">
      <c r="A8" s="2" t="s">
        <v>17</v>
      </c>
      <c r="B8" s="2">
        <f t="shared" ref="B8:M8" si="2">SUM(B9:B16)</f>
        <v>0</v>
      </c>
      <c r="C8" s="2">
        <f t="shared" si="2"/>
        <v>0</v>
      </c>
      <c r="D8" s="2">
        <f t="shared" si="2"/>
        <v>0</v>
      </c>
      <c r="E8" s="2">
        <f t="shared" si="2"/>
        <v>0</v>
      </c>
      <c r="F8" s="2">
        <f t="shared" si="2"/>
        <v>0</v>
      </c>
      <c r="G8" s="2">
        <f t="shared" si="2"/>
        <v>0</v>
      </c>
      <c r="H8" s="2">
        <f t="shared" si="2"/>
        <v>0</v>
      </c>
      <c r="I8" s="2">
        <f t="shared" si="2"/>
        <v>0</v>
      </c>
      <c r="J8" s="2">
        <f t="shared" si="2"/>
        <v>0</v>
      </c>
      <c r="K8" s="2">
        <f t="shared" si="2"/>
        <v>0</v>
      </c>
      <c r="L8" s="2">
        <f t="shared" si="2"/>
        <v>0</v>
      </c>
      <c r="M8" s="2">
        <f t="shared" si="2"/>
        <v>0</v>
      </c>
    </row>
    <row r="9" spans="1:13">
      <c r="A9" s="5" t="s">
        <v>18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</row>
    <row r="10" spans="1:13">
      <c r="A10" s="5" t="s">
        <v>19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</row>
    <row r="11" spans="1:13" ht="22.5">
      <c r="A11" s="5" t="s">
        <v>20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</row>
    <row r="12" spans="1:13">
      <c r="A12" s="5" t="s">
        <v>21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</row>
    <row r="13" spans="1:13">
      <c r="A13" s="6" t="s">
        <v>22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</row>
    <row r="14" spans="1:13" ht="22.5">
      <c r="A14" s="6" t="s">
        <v>23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</row>
    <row r="15" spans="1:13" ht="33.75">
      <c r="A15" s="6" t="s">
        <v>24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</row>
    <row r="16" spans="1:13">
      <c r="A16" s="5" t="s">
        <v>25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</row>
    <row r="17" spans="1:13">
      <c r="A17" s="8" t="s">
        <v>26</v>
      </c>
      <c r="B17" s="9">
        <f t="shared" ref="B17:M17" si="3">B7+B8</f>
        <v>1</v>
      </c>
      <c r="C17" s="9">
        <f t="shared" si="3"/>
        <v>1</v>
      </c>
      <c r="D17" s="9">
        <f t="shared" si="3"/>
        <v>1</v>
      </c>
      <c r="E17" s="9">
        <f t="shared" si="3"/>
        <v>0</v>
      </c>
      <c r="F17" s="9">
        <f t="shared" si="3"/>
        <v>0</v>
      </c>
      <c r="G17" s="9">
        <f t="shared" si="3"/>
        <v>0</v>
      </c>
      <c r="H17" s="9">
        <f t="shared" si="3"/>
        <v>0</v>
      </c>
      <c r="I17" s="9">
        <f t="shared" si="3"/>
        <v>0</v>
      </c>
      <c r="J17" s="9">
        <f t="shared" si="3"/>
        <v>0</v>
      </c>
      <c r="K17" s="9">
        <f t="shared" si="3"/>
        <v>0</v>
      </c>
      <c r="L17" s="9">
        <f t="shared" si="3"/>
        <v>0</v>
      </c>
      <c r="M17" s="9">
        <f t="shared" si="3"/>
        <v>0</v>
      </c>
    </row>
  </sheetData>
  <mergeCells count="7">
    <mergeCell ref="A1:M2"/>
    <mergeCell ref="A3:A5"/>
    <mergeCell ref="B3:B5"/>
    <mergeCell ref="C3:M3"/>
    <mergeCell ref="C4:G4"/>
    <mergeCell ref="H4:H5"/>
    <mergeCell ref="I4:K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16AEE-EEF3-41FC-9011-B3FA05A2337A}">
  <dimension ref="A1:M19"/>
  <sheetViews>
    <sheetView workbookViewId="0">
      <selection activeCell="N3" sqref="N3"/>
    </sheetView>
  </sheetViews>
  <sheetFormatPr defaultRowHeight="15"/>
  <sheetData>
    <row r="1" spans="1:13">
      <c r="A1" s="45" t="s">
        <v>27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7"/>
    </row>
    <row r="2" spans="1:13">
      <c r="A2" s="48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50"/>
    </row>
    <row r="3" spans="1:13">
      <c r="A3" s="51" t="s">
        <v>1</v>
      </c>
      <c r="B3" s="51" t="s">
        <v>2</v>
      </c>
      <c r="C3" s="51" t="s">
        <v>3</v>
      </c>
      <c r="D3" s="51"/>
      <c r="E3" s="51"/>
      <c r="F3" s="51"/>
      <c r="G3" s="51"/>
      <c r="H3" s="51"/>
      <c r="I3" s="51"/>
      <c r="J3" s="51"/>
      <c r="K3" s="51"/>
      <c r="L3" s="51"/>
      <c r="M3" s="51"/>
    </row>
    <row r="4" spans="1:13">
      <c r="A4" s="51"/>
      <c r="B4" s="51"/>
      <c r="C4" s="51" t="s">
        <v>4</v>
      </c>
      <c r="D4" s="51"/>
      <c r="E4" s="51"/>
      <c r="F4" s="51"/>
      <c r="G4" s="51"/>
      <c r="H4" s="51" t="s">
        <v>5</v>
      </c>
      <c r="I4" s="51" t="s">
        <v>6</v>
      </c>
      <c r="J4" s="51"/>
      <c r="K4" s="51"/>
      <c r="L4" s="1" t="s">
        <v>7</v>
      </c>
      <c r="M4" s="1" t="s">
        <v>8</v>
      </c>
    </row>
    <row r="5" spans="1:13">
      <c r="A5" s="51"/>
      <c r="B5" s="51"/>
      <c r="C5" s="1" t="s">
        <v>9</v>
      </c>
      <c r="D5" s="1" t="s">
        <v>10</v>
      </c>
      <c r="E5" s="1" t="s">
        <v>11</v>
      </c>
      <c r="F5" s="1" t="s">
        <v>12</v>
      </c>
      <c r="G5" s="1" t="s">
        <v>13</v>
      </c>
      <c r="H5" s="51"/>
      <c r="I5" s="1">
        <v>60</v>
      </c>
      <c r="J5" s="1">
        <v>82</v>
      </c>
      <c r="K5" s="1">
        <v>100</v>
      </c>
      <c r="L5" s="1" t="s">
        <v>14</v>
      </c>
      <c r="M5" s="1">
        <v>12.7</v>
      </c>
    </row>
    <row r="6" spans="1:13" ht="21">
      <c r="A6" s="10" t="s">
        <v>15</v>
      </c>
      <c r="B6" s="11">
        <f>B7</f>
        <v>546</v>
      </c>
      <c r="C6" s="11">
        <f t="shared" ref="C6:M6" si="0">C7</f>
        <v>22</v>
      </c>
      <c r="D6" s="11">
        <f t="shared" si="0"/>
        <v>289</v>
      </c>
      <c r="E6" s="11">
        <f t="shared" si="0"/>
        <v>27</v>
      </c>
      <c r="F6" s="11">
        <f t="shared" si="0"/>
        <v>6</v>
      </c>
      <c r="G6" s="11">
        <f t="shared" si="0"/>
        <v>54</v>
      </c>
      <c r="H6" s="11">
        <f t="shared" si="0"/>
        <v>1444</v>
      </c>
      <c r="I6" s="11">
        <f t="shared" si="0"/>
        <v>6</v>
      </c>
      <c r="J6" s="11">
        <f t="shared" si="0"/>
        <v>4</v>
      </c>
      <c r="K6" s="11">
        <f t="shared" si="0"/>
        <v>0</v>
      </c>
      <c r="L6" s="11">
        <f t="shared" si="0"/>
        <v>3</v>
      </c>
      <c r="M6" s="11">
        <f t="shared" si="0"/>
        <v>3</v>
      </c>
    </row>
    <row r="7" spans="1:13">
      <c r="A7" s="12" t="s">
        <v>28</v>
      </c>
      <c r="B7" s="13">
        <v>546</v>
      </c>
      <c r="C7" s="13">
        <v>22</v>
      </c>
      <c r="D7" s="13">
        <v>289</v>
      </c>
      <c r="E7" s="13">
        <v>27</v>
      </c>
      <c r="F7" s="13">
        <v>6</v>
      </c>
      <c r="G7" s="13">
        <v>54</v>
      </c>
      <c r="H7" s="13">
        <v>1444</v>
      </c>
      <c r="I7" s="13">
        <v>6</v>
      </c>
      <c r="J7" s="13">
        <v>4</v>
      </c>
      <c r="K7" s="13">
        <v>0</v>
      </c>
      <c r="L7" s="13">
        <v>3</v>
      </c>
      <c r="M7" s="13">
        <v>3</v>
      </c>
    </row>
    <row r="8" spans="1:13" ht="21">
      <c r="A8" s="10" t="s">
        <v>29</v>
      </c>
      <c r="B8" s="11">
        <f>SUM(B9:B18)</f>
        <v>335</v>
      </c>
      <c r="C8" s="11">
        <f t="shared" ref="C8:M8" si="1">SUM(C9:C18)</f>
        <v>14</v>
      </c>
      <c r="D8" s="11">
        <f t="shared" si="1"/>
        <v>150</v>
      </c>
      <c r="E8" s="11">
        <f t="shared" si="1"/>
        <v>0</v>
      </c>
      <c r="F8" s="11">
        <f t="shared" si="1"/>
        <v>0</v>
      </c>
      <c r="G8" s="11">
        <f t="shared" si="1"/>
        <v>0</v>
      </c>
      <c r="H8" s="11">
        <f t="shared" si="1"/>
        <v>629</v>
      </c>
      <c r="I8" s="11">
        <f t="shared" si="1"/>
        <v>0</v>
      </c>
      <c r="J8" s="11">
        <f t="shared" si="1"/>
        <v>0</v>
      </c>
      <c r="K8" s="11">
        <f t="shared" si="1"/>
        <v>4</v>
      </c>
      <c r="L8" s="11">
        <f t="shared" si="1"/>
        <v>6</v>
      </c>
      <c r="M8" s="11">
        <f t="shared" si="1"/>
        <v>6</v>
      </c>
    </row>
    <row r="9" spans="1:13">
      <c r="A9" s="12" t="s">
        <v>30</v>
      </c>
      <c r="B9" s="13">
        <v>74</v>
      </c>
      <c r="C9" s="13">
        <v>4</v>
      </c>
      <c r="D9" s="13">
        <v>30</v>
      </c>
      <c r="E9" s="13"/>
      <c r="F9" s="13"/>
      <c r="G9" s="13"/>
      <c r="H9" s="13">
        <v>139</v>
      </c>
      <c r="I9" s="13"/>
      <c r="J9" s="13"/>
      <c r="K9" s="13">
        <v>4</v>
      </c>
      <c r="L9" s="13"/>
      <c r="M9" s="13"/>
    </row>
    <row r="10" spans="1:13">
      <c r="A10" s="12" t="s">
        <v>31</v>
      </c>
      <c r="B10" s="13">
        <v>69</v>
      </c>
      <c r="C10" s="13">
        <v>4</v>
      </c>
      <c r="D10" s="13">
        <v>26</v>
      </c>
      <c r="E10" s="13"/>
      <c r="F10" s="13"/>
      <c r="G10" s="13"/>
      <c r="H10" s="13">
        <v>130</v>
      </c>
      <c r="I10" s="13"/>
      <c r="J10" s="13"/>
      <c r="K10" s="13"/>
      <c r="L10" s="13">
        <v>6</v>
      </c>
      <c r="M10" s="13"/>
    </row>
    <row r="11" spans="1:13" ht="21">
      <c r="A11" s="12" t="s">
        <v>32</v>
      </c>
      <c r="B11" s="13">
        <v>82</v>
      </c>
      <c r="C11" s="13">
        <v>4</v>
      </c>
      <c r="D11" s="13">
        <v>26</v>
      </c>
      <c r="E11" s="13"/>
      <c r="F11" s="13"/>
      <c r="G11" s="13"/>
      <c r="H11" s="13">
        <v>156</v>
      </c>
      <c r="I11" s="13"/>
      <c r="J11" s="13"/>
      <c r="K11" s="13"/>
      <c r="L11" s="13"/>
      <c r="M11" s="13">
        <v>6</v>
      </c>
    </row>
    <row r="12" spans="1:13">
      <c r="A12" s="12" t="s">
        <v>33</v>
      </c>
      <c r="B12" s="13">
        <v>28</v>
      </c>
      <c r="C12" s="13"/>
      <c r="D12" s="13">
        <v>10</v>
      </c>
      <c r="E12" s="13"/>
      <c r="F12" s="13"/>
      <c r="G12" s="13"/>
      <c r="H12" s="13">
        <v>56</v>
      </c>
      <c r="I12" s="13"/>
      <c r="J12" s="13"/>
      <c r="K12" s="13"/>
      <c r="L12" s="13"/>
      <c r="M12" s="13"/>
    </row>
    <row r="13" spans="1:13">
      <c r="A13" s="14" t="s">
        <v>34</v>
      </c>
      <c r="B13" s="15">
        <v>3</v>
      </c>
      <c r="C13" s="15"/>
      <c r="D13" s="15">
        <v>0</v>
      </c>
      <c r="E13" s="15"/>
      <c r="F13" s="15"/>
      <c r="G13" s="15"/>
      <c r="H13" s="15">
        <v>0</v>
      </c>
      <c r="I13" s="15"/>
      <c r="J13" s="15"/>
      <c r="K13" s="15"/>
      <c r="L13" s="15"/>
      <c r="M13" s="15"/>
    </row>
    <row r="14" spans="1:13">
      <c r="A14" s="14" t="s">
        <v>35</v>
      </c>
      <c r="B14" s="15">
        <v>9</v>
      </c>
      <c r="C14" s="15"/>
      <c r="D14" s="15">
        <v>2</v>
      </c>
      <c r="E14" s="15"/>
      <c r="F14" s="15"/>
      <c r="G14" s="15"/>
      <c r="H14" s="15">
        <v>8</v>
      </c>
      <c r="I14" s="15"/>
      <c r="J14" s="15"/>
      <c r="K14" s="15"/>
      <c r="L14" s="15"/>
      <c r="M14" s="15"/>
    </row>
    <row r="15" spans="1:13">
      <c r="A15" s="14" t="s">
        <v>36</v>
      </c>
      <c r="B15" s="15">
        <v>26</v>
      </c>
      <c r="C15" s="15">
        <v>2</v>
      </c>
      <c r="D15" s="15">
        <v>24</v>
      </c>
      <c r="E15" s="15"/>
      <c r="F15" s="15"/>
      <c r="G15" s="15"/>
      <c r="H15" s="15">
        <v>52</v>
      </c>
      <c r="I15" s="15"/>
      <c r="J15" s="15"/>
      <c r="K15" s="15"/>
      <c r="L15" s="15"/>
      <c r="M15" s="15"/>
    </row>
    <row r="16" spans="1:13">
      <c r="A16" s="12" t="s">
        <v>37</v>
      </c>
      <c r="B16" s="13">
        <v>32</v>
      </c>
      <c r="C16" s="13"/>
      <c r="D16" s="13">
        <v>22</v>
      </c>
      <c r="E16" s="13"/>
      <c r="F16" s="13"/>
      <c r="G16" s="13"/>
      <c r="H16" s="13">
        <v>64</v>
      </c>
      <c r="I16" s="13"/>
      <c r="J16" s="13"/>
      <c r="K16" s="13"/>
      <c r="L16" s="13"/>
      <c r="M16" s="13"/>
    </row>
    <row r="17" spans="1:13">
      <c r="A17" s="16" t="s">
        <v>38</v>
      </c>
      <c r="B17" s="17">
        <v>3</v>
      </c>
      <c r="C17" s="17"/>
      <c r="D17" s="17">
        <v>1</v>
      </c>
      <c r="E17" s="17"/>
      <c r="F17" s="17"/>
      <c r="G17" s="17"/>
      <c r="H17" s="17">
        <v>6</v>
      </c>
      <c r="I17" s="17"/>
      <c r="J17" s="17"/>
      <c r="K17" s="17"/>
      <c r="L17" s="17"/>
      <c r="M17" s="17"/>
    </row>
    <row r="18" spans="1:13">
      <c r="A18" s="18" t="s">
        <v>39</v>
      </c>
      <c r="B18" s="19">
        <v>9</v>
      </c>
      <c r="C18" s="19"/>
      <c r="D18" s="19">
        <v>9</v>
      </c>
      <c r="E18" s="19"/>
      <c r="F18" s="19"/>
      <c r="G18" s="19"/>
      <c r="H18" s="19">
        <v>18</v>
      </c>
      <c r="I18" s="19"/>
      <c r="J18" s="19"/>
      <c r="K18" s="19"/>
      <c r="L18" s="19"/>
      <c r="M18" s="19"/>
    </row>
    <row r="19" spans="1:13">
      <c r="A19" s="20" t="s">
        <v>26</v>
      </c>
      <c r="B19" s="21">
        <f>B6+B8</f>
        <v>881</v>
      </c>
      <c r="C19" s="21">
        <f t="shared" ref="C19:M19" si="2">C6+C8</f>
        <v>36</v>
      </c>
      <c r="D19" s="21">
        <f t="shared" si="2"/>
        <v>439</v>
      </c>
      <c r="E19" s="21">
        <f t="shared" si="2"/>
        <v>27</v>
      </c>
      <c r="F19" s="21">
        <f t="shared" si="2"/>
        <v>6</v>
      </c>
      <c r="G19" s="21">
        <f t="shared" si="2"/>
        <v>54</v>
      </c>
      <c r="H19" s="21">
        <f t="shared" si="2"/>
        <v>2073</v>
      </c>
      <c r="I19" s="21">
        <f t="shared" si="2"/>
        <v>6</v>
      </c>
      <c r="J19" s="21">
        <f t="shared" si="2"/>
        <v>4</v>
      </c>
      <c r="K19" s="21">
        <f t="shared" si="2"/>
        <v>4</v>
      </c>
      <c r="L19" s="21">
        <f t="shared" si="2"/>
        <v>9</v>
      </c>
      <c r="M19" s="21">
        <f t="shared" si="2"/>
        <v>9</v>
      </c>
    </row>
  </sheetData>
  <mergeCells count="7">
    <mergeCell ref="A1:M2"/>
    <mergeCell ref="A3:A5"/>
    <mergeCell ref="B3:B5"/>
    <mergeCell ref="C3:M3"/>
    <mergeCell ref="C4:G4"/>
    <mergeCell ref="H4:H5"/>
    <mergeCell ref="I4:K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76F58-BBC1-4BAD-8576-583DC692D30D}">
  <dimension ref="A1:I7"/>
  <sheetViews>
    <sheetView workbookViewId="0">
      <selection activeCell="F3" sqref="F3"/>
    </sheetView>
  </sheetViews>
  <sheetFormatPr defaultRowHeight="15"/>
  <sheetData>
    <row r="1" spans="1:9">
      <c r="A1" s="54" t="s">
        <v>40</v>
      </c>
      <c r="B1" s="54" t="s">
        <v>41</v>
      </c>
      <c r="C1" s="54" t="s">
        <v>42</v>
      </c>
      <c r="D1" s="56" t="s">
        <v>43</v>
      </c>
      <c r="E1" s="57"/>
      <c r="F1" s="57"/>
      <c r="G1" s="58"/>
      <c r="H1" s="52" t="s">
        <v>44</v>
      </c>
      <c r="I1" s="52" t="s">
        <v>45</v>
      </c>
    </row>
    <row r="2" spans="1:9">
      <c r="A2" s="55"/>
      <c r="B2" s="55"/>
      <c r="C2" s="55"/>
      <c r="D2" s="22" t="s">
        <v>46</v>
      </c>
      <c r="E2" s="22" t="s">
        <v>47</v>
      </c>
      <c r="F2" s="22" t="s">
        <v>48</v>
      </c>
      <c r="G2" s="22" t="s">
        <v>49</v>
      </c>
      <c r="H2" s="53"/>
      <c r="I2" s="53"/>
    </row>
    <row r="3" spans="1:9">
      <c r="A3" s="23" t="s">
        <v>9</v>
      </c>
      <c r="B3" s="23" t="s">
        <v>50</v>
      </c>
      <c r="C3" s="23">
        <v>36</v>
      </c>
      <c r="D3" s="24">
        <v>35</v>
      </c>
      <c r="E3" s="23">
        <f>D3/C3</f>
        <v>0.97222222222222221</v>
      </c>
      <c r="F3" s="23">
        <f>G3/D3</f>
        <v>0.97142857142857142</v>
      </c>
      <c r="G3" s="24">
        <v>34</v>
      </c>
      <c r="H3" s="24"/>
      <c r="I3" s="23">
        <f>C3-D3</f>
        <v>1</v>
      </c>
    </row>
    <row r="4" spans="1:9">
      <c r="A4" s="23" t="s">
        <v>10</v>
      </c>
      <c r="B4" s="23" t="s">
        <v>50</v>
      </c>
      <c r="C4" s="23">
        <v>439</v>
      </c>
      <c r="D4" s="24">
        <v>439</v>
      </c>
      <c r="E4" s="23">
        <f>D4/C4</f>
        <v>1</v>
      </c>
      <c r="F4" s="23">
        <f t="shared" ref="F4:F7" si="0">G4/D4</f>
        <v>0.99772209567198178</v>
      </c>
      <c r="G4" s="24">
        <v>438</v>
      </c>
      <c r="H4" s="24"/>
      <c r="I4" s="23">
        <f>C4-D4</f>
        <v>0</v>
      </c>
    </row>
    <row r="5" spans="1:9">
      <c r="A5" s="23" t="s">
        <v>52</v>
      </c>
      <c r="B5" s="23" t="s">
        <v>50</v>
      </c>
      <c r="C5" s="23">
        <v>27</v>
      </c>
      <c r="D5" s="24">
        <v>27</v>
      </c>
      <c r="E5" s="23">
        <f>D5/C5</f>
        <v>1</v>
      </c>
      <c r="F5" s="23">
        <f t="shared" si="0"/>
        <v>1</v>
      </c>
      <c r="G5" s="24">
        <v>27</v>
      </c>
      <c r="H5" s="24"/>
      <c r="I5" s="23">
        <f t="shared" ref="I5:I7" si="1">C5-D5</f>
        <v>0</v>
      </c>
    </row>
    <row r="6" spans="1:9">
      <c r="A6" s="23" t="s">
        <v>53</v>
      </c>
      <c r="B6" s="23" t="s">
        <v>50</v>
      </c>
      <c r="C6" s="23">
        <v>6</v>
      </c>
      <c r="D6" s="24">
        <v>6</v>
      </c>
      <c r="E6" s="23">
        <f>D6/C6</f>
        <v>1</v>
      </c>
      <c r="F6" s="23">
        <f t="shared" si="0"/>
        <v>0.83333333333333337</v>
      </c>
      <c r="G6" s="24">
        <v>5</v>
      </c>
      <c r="H6" s="24"/>
      <c r="I6" s="23">
        <f t="shared" si="1"/>
        <v>0</v>
      </c>
    </row>
    <row r="7" spans="1:9">
      <c r="A7" s="23" t="s">
        <v>5</v>
      </c>
      <c r="B7" s="23" t="s">
        <v>51</v>
      </c>
      <c r="C7" s="23">
        <v>2073</v>
      </c>
      <c r="D7" s="24">
        <v>2073</v>
      </c>
      <c r="E7" s="23">
        <f>D7/C7</f>
        <v>1</v>
      </c>
      <c r="F7" s="23">
        <f t="shared" si="0"/>
        <v>1</v>
      </c>
      <c r="G7" s="24">
        <v>2073</v>
      </c>
      <c r="H7" s="24"/>
      <c r="I7" s="23">
        <f t="shared" si="1"/>
        <v>0</v>
      </c>
    </row>
  </sheetData>
  <mergeCells count="6">
    <mergeCell ref="I1:I2"/>
    <mergeCell ref="A1:A2"/>
    <mergeCell ref="B1:B2"/>
    <mergeCell ref="C1:C2"/>
    <mergeCell ref="D1:G1"/>
    <mergeCell ref="H1:H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7F165-9D3D-496E-8012-68B69501198F}">
  <dimension ref="A1:E7"/>
  <sheetViews>
    <sheetView workbookViewId="0">
      <selection activeCell="C5" sqref="C5"/>
    </sheetView>
  </sheetViews>
  <sheetFormatPr defaultRowHeight="15"/>
  <sheetData>
    <row r="1" spans="1:5">
      <c r="A1" s="41" t="s">
        <v>91</v>
      </c>
      <c r="B1" s="41" t="s">
        <v>41</v>
      </c>
      <c r="C1" s="41" t="s">
        <v>43</v>
      </c>
      <c r="D1" s="41" t="s">
        <v>42</v>
      </c>
      <c r="E1" s="41" t="s">
        <v>45</v>
      </c>
    </row>
    <row r="2" spans="1:5">
      <c r="A2" s="41" t="s">
        <v>92</v>
      </c>
      <c r="B2" s="41" t="s">
        <v>55</v>
      </c>
      <c r="C2" s="42">
        <v>0</v>
      </c>
      <c r="D2" s="42">
        <v>0</v>
      </c>
      <c r="E2" s="42">
        <f>D2-C2</f>
        <v>0</v>
      </c>
    </row>
    <row r="3" spans="1:5">
      <c r="A3" s="41" t="s">
        <v>56</v>
      </c>
      <c r="B3" s="41" t="s">
        <v>55</v>
      </c>
      <c r="C3" s="42">
        <v>0</v>
      </c>
      <c r="D3" s="42">
        <v>0</v>
      </c>
      <c r="E3" s="43">
        <f>D3-C3</f>
        <v>0</v>
      </c>
    </row>
    <row r="4" spans="1:5">
      <c r="A4" s="41" t="s">
        <v>57</v>
      </c>
      <c r="B4" s="41" t="s">
        <v>55</v>
      </c>
      <c r="C4" s="42">
        <v>0</v>
      </c>
      <c r="D4" s="42">
        <v>0</v>
      </c>
      <c r="E4" s="43">
        <f t="shared" ref="E4:E6" si="0">D4-C4</f>
        <v>0</v>
      </c>
    </row>
    <row r="5" spans="1:5">
      <c r="A5" s="41" t="s">
        <v>58</v>
      </c>
      <c r="B5" s="41" t="s">
        <v>55</v>
      </c>
      <c r="C5" s="42">
        <v>0</v>
      </c>
      <c r="D5" s="42">
        <v>0</v>
      </c>
      <c r="E5" s="43">
        <f t="shared" si="0"/>
        <v>0</v>
      </c>
    </row>
    <row r="6" spans="1:5">
      <c r="A6" s="41" t="s">
        <v>93</v>
      </c>
      <c r="B6" s="41" t="s">
        <v>55</v>
      </c>
      <c r="C6" s="42">
        <v>0</v>
      </c>
      <c r="D6" s="42">
        <v>0</v>
      </c>
      <c r="E6" s="43">
        <f t="shared" si="0"/>
        <v>0</v>
      </c>
    </row>
    <row r="7" spans="1:5">
      <c r="A7" s="44" t="s">
        <v>59</v>
      </c>
      <c r="B7" s="41" t="s">
        <v>55</v>
      </c>
      <c r="C7" s="43">
        <f>C3+C4+C5+C6+C2</f>
        <v>0</v>
      </c>
      <c r="D7" s="43">
        <f t="shared" ref="D7:E7" si="1">D3+D4+D5+D6+D2</f>
        <v>0</v>
      </c>
      <c r="E7" s="43">
        <f t="shared" si="1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D6F2A-F3DA-482E-A27C-72512E35A6E7}">
  <dimension ref="A1:I7"/>
  <sheetViews>
    <sheetView workbookViewId="0">
      <selection activeCell="D1" sqref="D1:F1"/>
    </sheetView>
  </sheetViews>
  <sheetFormatPr defaultRowHeight="15"/>
  <sheetData>
    <row r="1" spans="1:9">
      <c r="A1" s="59" t="s">
        <v>60</v>
      </c>
      <c r="B1" s="61" t="s">
        <v>54</v>
      </c>
      <c r="C1" s="61" t="s">
        <v>41</v>
      </c>
      <c r="D1" s="63" t="s">
        <v>44</v>
      </c>
      <c r="E1" s="64"/>
      <c r="F1" s="65"/>
      <c r="G1" s="66" t="s">
        <v>61</v>
      </c>
      <c r="H1" s="67"/>
      <c r="I1" s="68"/>
    </row>
    <row r="2" spans="1:9">
      <c r="A2" s="60"/>
      <c r="B2" s="62"/>
      <c r="C2" s="62"/>
      <c r="D2" s="26" t="s">
        <v>62</v>
      </c>
      <c r="E2" s="26" t="s">
        <v>63</v>
      </c>
      <c r="F2" s="26" t="s">
        <v>46</v>
      </c>
      <c r="G2" s="28" t="s">
        <v>62</v>
      </c>
      <c r="H2" s="28" t="s">
        <v>63</v>
      </c>
      <c r="I2" s="28" t="s">
        <v>46</v>
      </c>
    </row>
    <row r="3" spans="1:9">
      <c r="A3" s="24">
        <v>1</v>
      </c>
      <c r="B3" s="26"/>
      <c r="C3" s="25"/>
      <c r="D3" s="27"/>
      <c r="E3" s="27"/>
      <c r="F3" s="27"/>
      <c r="G3" s="24"/>
      <c r="H3" s="24"/>
      <c r="I3" s="24"/>
    </row>
    <row r="4" spans="1:9">
      <c r="A4" s="24">
        <v>2</v>
      </c>
      <c r="B4" s="26"/>
      <c r="C4" s="25"/>
      <c r="D4" s="27"/>
      <c r="E4" s="27"/>
      <c r="F4" s="27"/>
      <c r="G4" s="24"/>
      <c r="H4" s="24"/>
      <c r="I4" s="24"/>
    </row>
    <row r="5" spans="1:9">
      <c r="A5" s="24">
        <v>3</v>
      </c>
      <c r="B5" s="26"/>
      <c r="C5" s="25"/>
      <c r="D5" s="27"/>
      <c r="E5" s="27"/>
      <c r="F5" s="27"/>
      <c r="G5" s="24"/>
      <c r="H5" s="24"/>
      <c r="I5" s="24"/>
    </row>
    <row r="6" spans="1:9">
      <c r="A6" s="24">
        <v>4</v>
      </c>
      <c r="B6" s="26"/>
      <c r="C6" s="25"/>
      <c r="D6" s="27"/>
      <c r="E6" s="27"/>
      <c r="F6" s="27"/>
      <c r="G6" s="24"/>
      <c r="H6" s="24"/>
      <c r="I6" s="24"/>
    </row>
    <row r="7" spans="1:9">
      <c r="A7" s="24">
        <v>5</v>
      </c>
      <c r="B7" s="26"/>
      <c r="C7" s="25"/>
      <c r="D7" s="27"/>
      <c r="E7" s="27"/>
      <c r="F7" s="27"/>
      <c r="G7" s="24"/>
      <c r="H7" s="24"/>
      <c r="I7" s="24"/>
    </row>
  </sheetData>
  <mergeCells count="5">
    <mergeCell ref="A1:A2"/>
    <mergeCell ref="B1:B2"/>
    <mergeCell ref="C1:C2"/>
    <mergeCell ref="D1:F1"/>
    <mergeCell ref="G1:I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BB609-02C3-4480-ABA1-81B8EB7FC6E5}">
  <dimension ref="A1:M19"/>
  <sheetViews>
    <sheetView topLeftCell="A7" workbookViewId="0">
      <selection sqref="A1:M2"/>
    </sheetView>
  </sheetViews>
  <sheetFormatPr defaultRowHeight="15"/>
  <sheetData>
    <row r="1" spans="1:13">
      <c r="A1" s="45" t="s">
        <v>27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7"/>
    </row>
    <row r="2" spans="1:13">
      <c r="A2" s="48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50"/>
    </row>
    <row r="3" spans="1:13">
      <c r="A3" s="51" t="s">
        <v>1</v>
      </c>
      <c r="B3" s="51" t="s">
        <v>2</v>
      </c>
      <c r="C3" s="51" t="s">
        <v>3</v>
      </c>
      <c r="D3" s="51"/>
      <c r="E3" s="51"/>
      <c r="F3" s="51"/>
      <c r="G3" s="51"/>
      <c r="H3" s="51"/>
      <c r="I3" s="51"/>
      <c r="J3" s="51"/>
      <c r="K3" s="51"/>
      <c r="L3" s="51"/>
      <c r="M3" s="51"/>
    </row>
    <row r="4" spans="1:13">
      <c r="A4" s="51"/>
      <c r="B4" s="51"/>
      <c r="C4" s="51" t="s">
        <v>4</v>
      </c>
      <c r="D4" s="51"/>
      <c r="E4" s="51"/>
      <c r="F4" s="51"/>
      <c r="G4" s="51"/>
      <c r="H4" s="51" t="s">
        <v>5</v>
      </c>
      <c r="I4" s="51" t="s">
        <v>6</v>
      </c>
      <c r="J4" s="51"/>
      <c r="K4" s="51"/>
      <c r="L4" s="1" t="s">
        <v>7</v>
      </c>
      <c r="M4" s="1" t="s">
        <v>8</v>
      </c>
    </row>
    <row r="5" spans="1:13">
      <c r="A5" s="51"/>
      <c r="B5" s="51"/>
      <c r="C5" s="1" t="s">
        <v>9</v>
      </c>
      <c r="D5" s="1" t="s">
        <v>10</v>
      </c>
      <c r="E5" s="1" t="s">
        <v>11</v>
      </c>
      <c r="F5" s="1" t="s">
        <v>12</v>
      </c>
      <c r="G5" s="1" t="s">
        <v>13</v>
      </c>
      <c r="H5" s="51"/>
      <c r="I5" s="1">
        <v>60</v>
      </c>
      <c r="J5" s="1">
        <v>82</v>
      </c>
      <c r="K5" s="1">
        <v>100</v>
      </c>
      <c r="L5" s="1" t="s">
        <v>14</v>
      </c>
      <c r="M5" s="1">
        <v>12.7</v>
      </c>
    </row>
    <row r="6" spans="1:13" ht="21">
      <c r="A6" s="10" t="s">
        <v>15</v>
      </c>
      <c r="B6" s="11">
        <f>B7</f>
        <v>546</v>
      </c>
      <c r="C6" s="11">
        <f t="shared" ref="C6:M6" si="0">C7</f>
        <v>22</v>
      </c>
      <c r="D6" s="11">
        <f t="shared" si="0"/>
        <v>289</v>
      </c>
      <c r="E6" s="11">
        <f t="shared" si="0"/>
        <v>27</v>
      </c>
      <c r="F6" s="11">
        <f t="shared" si="0"/>
        <v>6</v>
      </c>
      <c r="G6" s="11">
        <f t="shared" si="0"/>
        <v>54</v>
      </c>
      <c r="H6" s="11">
        <f t="shared" si="0"/>
        <v>1444</v>
      </c>
      <c r="I6" s="11">
        <f t="shared" si="0"/>
        <v>6</v>
      </c>
      <c r="J6" s="11">
        <f t="shared" si="0"/>
        <v>4</v>
      </c>
      <c r="K6" s="11">
        <f t="shared" si="0"/>
        <v>0</v>
      </c>
      <c r="L6" s="11">
        <f t="shared" si="0"/>
        <v>3</v>
      </c>
      <c r="M6" s="11">
        <f t="shared" si="0"/>
        <v>3</v>
      </c>
    </row>
    <row r="7" spans="1:13">
      <c r="A7" s="12" t="s">
        <v>28</v>
      </c>
      <c r="B7" s="13">
        <v>546</v>
      </c>
      <c r="C7" s="13">
        <v>22</v>
      </c>
      <c r="D7" s="13">
        <v>289</v>
      </c>
      <c r="E7" s="13">
        <v>27</v>
      </c>
      <c r="F7" s="13">
        <v>6</v>
      </c>
      <c r="G7" s="13">
        <v>54</v>
      </c>
      <c r="H7" s="13">
        <v>1444</v>
      </c>
      <c r="I7" s="13">
        <v>6</v>
      </c>
      <c r="J7" s="13">
        <v>4</v>
      </c>
      <c r="K7" s="13">
        <v>0</v>
      </c>
      <c r="L7" s="13">
        <v>3</v>
      </c>
      <c r="M7" s="13">
        <v>3</v>
      </c>
    </row>
    <row r="8" spans="1:13" ht="21">
      <c r="A8" s="10" t="s">
        <v>29</v>
      </c>
      <c r="B8" s="11">
        <f>SUM(B9:B18)</f>
        <v>335</v>
      </c>
      <c r="C8" s="11">
        <f t="shared" ref="C8:M8" si="1">SUM(C9:C18)</f>
        <v>14</v>
      </c>
      <c r="D8" s="11">
        <f t="shared" si="1"/>
        <v>150</v>
      </c>
      <c r="E8" s="11">
        <f t="shared" si="1"/>
        <v>0</v>
      </c>
      <c r="F8" s="11">
        <f t="shared" si="1"/>
        <v>0</v>
      </c>
      <c r="G8" s="11">
        <f t="shared" si="1"/>
        <v>0</v>
      </c>
      <c r="H8" s="11">
        <f t="shared" si="1"/>
        <v>629</v>
      </c>
      <c r="I8" s="11">
        <f t="shared" si="1"/>
        <v>0</v>
      </c>
      <c r="J8" s="11">
        <f t="shared" si="1"/>
        <v>0</v>
      </c>
      <c r="K8" s="11">
        <f t="shared" si="1"/>
        <v>4</v>
      </c>
      <c r="L8" s="11">
        <f t="shared" si="1"/>
        <v>6</v>
      </c>
      <c r="M8" s="11">
        <f t="shared" si="1"/>
        <v>6</v>
      </c>
    </row>
    <row r="9" spans="1:13">
      <c r="A9" s="12" t="s">
        <v>30</v>
      </c>
      <c r="B9" s="13">
        <v>74</v>
      </c>
      <c r="C9" s="13">
        <v>4</v>
      </c>
      <c r="D9" s="13">
        <v>30</v>
      </c>
      <c r="E9" s="13"/>
      <c r="F9" s="13"/>
      <c r="G9" s="13"/>
      <c r="H9" s="13">
        <v>139</v>
      </c>
      <c r="I9" s="13"/>
      <c r="J9" s="13"/>
      <c r="K9" s="13">
        <v>4</v>
      </c>
      <c r="L9" s="13"/>
      <c r="M9" s="13"/>
    </row>
    <row r="10" spans="1:13">
      <c r="A10" s="12" t="s">
        <v>31</v>
      </c>
      <c r="B10" s="13">
        <v>69</v>
      </c>
      <c r="C10" s="13">
        <v>4</v>
      </c>
      <c r="D10" s="13">
        <v>26</v>
      </c>
      <c r="E10" s="13"/>
      <c r="F10" s="13"/>
      <c r="G10" s="13"/>
      <c r="H10" s="13">
        <v>130</v>
      </c>
      <c r="I10" s="13"/>
      <c r="J10" s="13"/>
      <c r="K10" s="13"/>
      <c r="L10" s="13">
        <v>6</v>
      </c>
      <c r="M10" s="13"/>
    </row>
    <row r="11" spans="1:13" ht="21">
      <c r="A11" s="12" t="s">
        <v>32</v>
      </c>
      <c r="B11" s="13">
        <v>82</v>
      </c>
      <c r="C11" s="13">
        <v>4</v>
      </c>
      <c r="D11" s="13">
        <v>26</v>
      </c>
      <c r="E11" s="13"/>
      <c r="F11" s="13"/>
      <c r="G11" s="13"/>
      <c r="H11" s="13">
        <v>156</v>
      </c>
      <c r="I11" s="13"/>
      <c r="J11" s="13"/>
      <c r="K11" s="13"/>
      <c r="L11" s="13"/>
      <c r="M11" s="13">
        <v>6</v>
      </c>
    </row>
    <row r="12" spans="1:13">
      <c r="A12" s="12" t="s">
        <v>33</v>
      </c>
      <c r="B12" s="13">
        <v>28</v>
      </c>
      <c r="C12" s="13"/>
      <c r="D12" s="13">
        <v>10</v>
      </c>
      <c r="E12" s="13"/>
      <c r="F12" s="13"/>
      <c r="G12" s="13"/>
      <c r="H12" s="13">
        <v>56</v>
      </c>
      <c r="I12" s="13"/>
      <c r="J12" s="13"/>
      <c r="K12" s="13"/>
      <c r="L12" s="13"/>
      <c r="M12" s="13"/>
    </row>
    <row r="13" spans="1:13">
      <c r="A13" s="14" t="s">
        <v>34</v>
      </c>
      <c r="B13" s="15">
        <v>3</v>
      </c>
      <c r="C13" s="15"/>
      <c r="D13" s="15">
        <v>0</v>
      </c>
      <c r="E13" s="15"/>
      <c r="F13" s="15"/>
      <c r="G13" s="15"/>
      <c r="H13" s="15">
        <v>0</v>
      </c>
      <c r="I13" s="15"/>
      <c r="J13" s="15"/>
      <c r="K13" s="15"/>
      <c r="L13" s="15"/>
      <c r="M13" s="15"/>
    </row>
    <row r="14" spans="1:13">
      <c r="A14" s="14" t="s">
        <v>35</v>
      </c>
      <c r="B14" s="15">
        <v>9</v>
      </c>
      <c r="C14" s="15"/>
      <c r="D14" s="15">
        <v>2</v>
      </c>
      <c r="E14" s="15"/>
      <c r="F14" s="15"/>
      <c r="G14" s="15"/>
      <c r="H14" s="15">
        <v>8</v>
      </c>
      <c r="I14" s="15"/>
      <c r="J14" s="15"/>
      <c r="K14" s="15"/>
      <c r="L14" s="15"/>
      <c r="M14" s="15"/>
    </row>
    <row r="15" spans="1:13">
      <c r="A15" s="14" t="s">
        <v>36</v>
      </c>
      <c r="B15" s="15">
        <v>26</v>
      </c>
      <c r="C15" s="15">
        <v>2</v>
      </c>
      <c r="D15" s="15">
        <v>24</v>
      </c>
      <c r="E15" s="15"/>
      <c r="F15" s="15"/>
      <c r="G15" s="15"/>
      <c r="H15" s="15">
        <v>52</v>
      </c>
      <c r="I15" s="15"/>
      <c r="J15" s="15"/>
      <c r="K15" s="15"/>
      <c r="L15" s="15"/>
      <c r="M15" s="15"/>
    </row>
    <row r="16" spans="1:13">
      <c r="A16" s="12" t="s">
        <v>37</v>
      </c>
      <c r="B16" s="13">
        <v>32</v>
      </c>
      <c r="C16" s="13"/>
      <c r="D16" s="13">
        <v>22</v>
      </c>
      <c r="E16" s="13"/>
      <c r="F16" s="13"/>
      <c r="G16" s="13"/>
      <c r="H16" s="13">
        <v>64</v>
      </c>
      <c r="I16" s="13"/>
      <c r="J16" s="13"/>
      <c r="K16" s="13"/>
      <c r="L16" s="13"/>
      <c r="M16" s="13"/>
    </row>
    <row r="17" spans="1:13">
      <c r="A17" s="16" t="s">
        <v>38</v>
      </c>
      <c r="B17" s="17">
        <v>3</v>
      </c>
      <c r="C17" s="17"/>
      <c r="D17" s="17">
        <v>1</v>
      </c>
      <c r="E17" s="17"/>
      <c r="F17" s="17"/>
      <c r="G17" s="17"/>
      <c r="H17" s="17">
        <v>6</v>
      </c>
      <c r="I17" s="17"/>
      <c r="J17" s="17"/>
      <c r="K17" s="17"/>
      <c r="L17" s="17"/>
      <c r="M17" s="17"/>
    </row>
    <row r="18" spans="1:13">
      <c r="A18" s="18" t="s">
        <v>39</v>
      </c>
      <c r="B18" s="19">
        <v>9</v>
      </c>
      <c r="C18" s="19"/>
      <c r="D18" s="19">
        <v>9</v>
      </c>
      <c r="E18" s="19"/>
      <c r="F18" s="19"/>
      <c r="G18" s="19"/>
      <c r="H18" s="19">
        <v>18</v>
      </c>
      <c r="I18" s="19"/>
      <c r="J18" s="19"/>
      <c r="K18" s="19"/>
      <c r="L18" s="19"/>
      <c r="M18" s="19"/>
    </row>
    <row r="19" spans="1:13">
      <c r="A19" s="20" t="s">
        <v>26</v>
      </c>
      <c r="B19" s="21">
        <f>B6+B8</f>
        <v>881</v>
      </c>
      <c r="C19" s="21">
        <f t="shared" ref="C19:M19" si="2">C6+C8</f>
        <v>36</v>
      </c>
      <c r="D19" s="21">
        <f t="shared" si="2"/>
        <v>439</v>
      </c>
      <c r="E19" s="21">
        <f t="shared" si="2"/>
        <v>27</v>
      </c>
      <c r="F19" s="21">
        <f t="shared" si="2"/>
        <v>6</v>
      </c>
      <c r="G19" s="21">
        <f t="shared" si="2"/>
        <v>54</v>
      </c>
      <c r="H19" s="21">
        <f t="shared" si="2"/>
        <v>2073</v>
      </c>
      <c r="I19" s="21">
        <f t="shared" si="2"/>
        <v>6</v>
      </c>
      <c r="J19" s="21">
        <f t="shared" si="2"/>
        <v>4</v>
      </c>
      <c r="K19" s="21">
        <f t="shared" si="2"/>
        <v>4</v>
      </c>
      <c r="L19" s="21">
        <f t="shared" si="2"/>
        <v>9</v>
      </c>
      <c r="M19" s="21">
        <f t="shared" si="2"/>
        <v>9</v>
      </c>
    </row>
  </sheetData>
  <mergeCells count="7">
    <mergeCell ref="A1:M2"/>
    <mergeCell ref="A3:A5"/>
    <mergeCell ref="B3:B5"/>
    <mergeCell ref="C3:M3"/>
    <mergeCell ref="C4:G4"/>
    <mergeCell ref="H4:H5"/>
    <mergeCell ref="I4:K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CF06B-A044-4E5A-A947-A016657D51E8}">
  <dimension ref="A1:M16"/>
  <sheetViews>
    <sheetView tabSelected="1" workbookViewId="0">
      <selection activeCell="M40" sqref="M40"/>
    </sheetView>
  </sheetViews>
  <sheetFormatPr defaultRowHeight="15"/>
  <cols>
    <col min="2" max="2" width="17" customWidth="1"/>
  </cols>
  <sheetData>
    <row r="1" spans="1:13">
      <c r="A1" s="69" t="s">
        <v>60</v>
      </c>
      <c r="B1" s="69" t="s">
        <v>64</v>
      </c>
      <c r="C1" s="80" t="s">
        <v>65</v>
      </c>
      <c r="D1" s="81"/>
      <c r="E1" s="81"/>
      <c r="F1" s="82"/>
      <c r="G1" s="80" t="s">
        <v>66</v>
      </c>
      <c r="H1" s="81"/>
      <c r="I1" s="82"/>
      <c r="J1" s="80" t="s">
        <v>67</v>
      </c>
      <c r="K1" s="81"/>
      <c r="L1" s="81"/>
      <c r="M1" s="82"/>
    </row>
    <row r="2" spans="1:13" ht="14.65" customHeight="1">
      <c r="A2" s="70"/>
      <c r="B2" s="70"/>
      <c r="C2" s="69" t="s">
        <v>68</v>
      </c>
      <c r="D2" s="69" t="s">
        <v>69</v>
      </c>
      <c r="E2" s="69" t="s">
        <v>70</v>
      </c>
      <c r="F2" s="69" t="s">
        <v>46</v>
      </c>
      <c r="G2" s="69" t="s">
        <v>71</v>
      </c>
      <c r="H2" s="69" t="s">
        <v>72</v>
      </c>
      <c r="I2" s="69" t="s">
        <v>73</v>
      </c>
      <c r="J2" s="72" t="s">
        <v>74</v>
      </c>
      <c r="K2" s="73"/>
      <c r="L2" s="76" t="s">
        <v>75</v>
      </c>
      <c r="M2" s="77"/>
    </row>
    <row r="3" spans="1:13">
      <c r="A3" s="70"/>
      <c r="B3" s="70"/>
      <c r="C3" s="70"/>
      <c r="D3" s="70"/>
      <c r="E3" s="70"/>
      <c r="F3" s="70"/>
      <c r="G3" s="70"/>
      <c r="H3" s="70"/>
      <c r="I3" s="70"/>
      <c r="J3" s="74"/>
      <c r="K3" s="75"/>
      <c r="L3" s="78"/>
      <c r="M3" s="79"/>
    </row>
    <row r="4" spans="1:13">
      <c r="A4" s="71"/>
      <c r="B4" s="71"/>
      <c r="C4" s="71"/>
      <c r="D4" s="71"/>
      <c r="E4" s="71"/>
      <c r="F4" s="71"/>
      <c r="G4" s="71"/>
      <c r="H4" s="71"/>
      <c r="I4" s="71"/>
      <c r="J4" s="29" t="s">
        <v>76</v>
      </c>
      <c r="K4" s="29" t="s">
        <v>77</v>
      </c>
      <c r="L4" s="29" t="s">
        <v>76</v>
      </c>
      <c r="M4" s="29" t="s">
        <v>77</v>
      </c>
    </row>
    <row r="5" spans="1:13">
      <c r="A5" s="29">
        <v>1</v>
      </c>
      <c r="B5" s="31" t="s">
        <v>78</v>
      </c>
      <c r="C5" s="29">
        <f>SUM(C6:C12)</f>
        <v>2</v>
      </c>
      <c r="D5" s="29">
        <f>SUM(D6:D12)</f>
        <v>5</v>
      </c>
      <c r="E5" s="29">
        <f>SUM(E6:E12)</f>
        <v>54</v>
      </c>
      <c r="F5" s="29">
        <f>SUM(F6:F12)</f>
        <v>61</v>
      </c>
      <c r="G5" s="29"/>
      <c r="H5" s="29"/>
      <c r="I5" s="29"/>
      <c r="J5" s="29"/>
      <c r="K5" s="29"/>
      <c r="L5" s="29"/>
      <c r="M5" s="29"/>
    </row>
    <row r="6" spans="1:13">
      <c r="A6" s="29" t="s">
        <v>79</v>
      </c>
      <c r="B6" s="32" t="s">
        <v>80</v>
      </c>
      <c r="C6" s="29">
        <v>1</v>
      </c>
      <c r="D6" s="29"/>
      <c r="E6" s="29"/>
      <c r="F6" s="29">
        <f t="shared" ref="F6:F10" si="0">SUM(C6:E6)</f>
        <v>1</v>
      </c>
      <c r="G6" s="29"/>
      <c r="H6" s="29"/>
      <c r="I6" s="29"/>
      <c r="J6" s="29"/>
      <c r="K6" s="29"/>
      <c r="L6" s="29"/>
      <c r="M6" s="29"/>
    </row>
    <row r="7" spans="1:13">
      <c r="A7" s="29" t="s">
        <v>79</v>
      </c>
      <c r="B7" s="32" t="s">
        <v>81</v>
      </c>
      <c r="C7" s="29"/>
      <c r="D7" s="29">
        <v>1</v>
      </c>
      <c r="E7" s="29"/>
      <c r="F7" s="29">
        <f t="shared" si="0"/>
        <v>1</v>
      </c>
      <c r="G7" s="29"/>
      <c r="H7" s="29"/>
      <c r="I7" s="29"/>
      <c r="J7" s="29"/>
      <c r="K7" s="29"/>
      <c r="L7" s="29"/>
      <c r="M7" s="29"/>
    </row>
    <row r="8" spans="1:13">
      <c r="A8" s="29" t="s">
        <v>79</v>
      </c>
      <c r="B8" s="33" t="s">
        <v>82</v>
      </c>
      <c r="C8" s="29"/>
      <c r="D8" s="29">
        <v>1</v>
      </c>
      <c r="E8" s="29"/>
      <c r="F8" s="29">
        <f t="shared" si="0"/>
        <v>1</v>
      </c>
      <c r="G8" s="29"/>
      <c r="H8" s="29"/>
      <c r="I8" s="29"/>
      <c r="J8" s="29"/>
      <c r="K8" s="29"/>
      <c r="L8" s="29"/>
      <c r="M8" s="29"/>
    </row>
    <row r="9" spans="1:13">
      <c r="A9" s="29" t="s">
        <v>79</v>
      </c>
      <c r="B9" s="32" t="s">
        <v>83</v>
      </c>
      <c r="C9" s="29"/>
      <c r="D9" s="29">
        <v>1</v>
      </c>
      <c r="E9" s="29"/>
      <c r="F9" s="29">
        <f t="shared" si="0"/>
        <v>1</v>
      </c>
      <c r="G9" s="29"/>
      <c r="H9" s="29"/>
      <c r="I9" s="29"/>
      <c r="J9" s="29"/>
      <c r="K9" s="29"/>
      <c r="L9" s="29"/>
      <c r="M9" s="29"/>
    </row>
    <row r="10" spans="1:13">
      <c r="A10" s="29" t="s">
        <v>79</v>
      </c>
      <c r="B10" s="32" t="s">
        <v>84</v>
      </c>
      <c r="C10" s="29"/>
      <c r="D10" s="29">
        <v>1</v>
      </c>
      <c r="E10" s="29">
        <v>2</v>
      </c>
      <c r="F10" s="29">
        <f t="shared" si="0"/>
        <v>3</v>
      </c>
      <c r="G10" s="29"/>
      <c r="H10" s="29"/>
      <c r="I10" s="29"/>
      <c r="J10" s="29"/>
      <c r="K10" s="29"/>
      <c r="L10" s="29"/>
      <c r="M10" s="29"/>
    </row>
    <row r="11" spans="1:13">
      <c r="A11" s="29" t="s">
        <v>79</v>
      </c>
      <c r="B11" s="32" t="s">
        <v>85</v>
      </c>
      <c r="C11" s="29">
        <v>1</v>
      </c>
      <c r="D11" s="29"/>
      <c r="E11" s="29">
        <v>27</v>
      </c>
      <c r="F11" s="29">
        <f>SUM(C11:E11)</f>
        <v>28</v>
      </c>
      <c r="G11" s="29"/>
      <c r="H11" s="29"/>
      <c r="I11" s="29"/>
      <c r="J11" s="29"/>
      <c r="K11" s="29"/>
      <c r="L11" s="29"/>
      <c r="M11" s="29"/>
    </row>
    <row r="12" spans="1:13">
      <c r="A12" s="34" t="s">
        <v>79</v>
      </c>
      <c r="B12" s="35" t="s">
        <v>86</v>
      </c>
      <c r="C12" s="36"/>
      <c r="D12" s="36">
        <v>1</v>
      </c>
      <c r="E12" s="36">
        <v>25</v>
      </c>
      <c r="F12" s="29">
        <f>SUM(C12:E12)</f>
        <v>26</v>
      </c>
      <c r="G12" s="36"/>
      <c r="H12" s="36"/>
      <c r="I12" s="36"/>
      <c r="J12" s="36"/>
      <c r="K12" s="36"/>
      <c r="L12" s="36"/>
      <c r="M12" s="36"/>
    </row>
    <row r="13" spans="1:13">
      <c r="A13" s="29">
        <v>2</v>
      </c>
      <c r="B13" s="37" t="s">
        <v>87</v>
      </c>
      <c r="C13" s="29">
        <f>C14+C15+C16</f>
        <v>1</v>
      </c>
      <c r="D13" s="29">
        <f>D14+D15+D16</f>
        <v>4</v>
      </c>
      <c r="E13" s="29">
        <f>E14+E15+E16</f>
        <v>29</v>
      </c>
      <c r="F13" s="29">
        <f>F14+F15+F16</f>
        <v>34</v>
      </c>
      <c r="G13" s="37"/>
      <c r="H13" s="37"/>
      <c r="I13" s="37"/>
      <c r="J13" s="37"/>
      <c r="K13" s="37"/>
      <c r="L13" s="37"/>
      <c r="M13" s="37"/>
    </row>
    <row r="14" spans="1:13">
      <c r="A14" s="29" t="s">
        <v>79</v>
      </c>
      <c r="B14" s="32" t="s">
        <v>88</v>
      </c>
      <c r="C14" s="29"/>
      <c r="D14" s="29">
        <v>1</v>
      </c>
      <c r="E14" s="29">
        <v>2</v>
      </c>
      <c r="F14" s="29">
        <f>SUM(C14:E14)</f>
        <v>3</v>
      </c>
      <c r="G14" s="37"/>
      <c r="H14" s="37"/>
      <c r="I14" s="37"/>
      <c r="J14" s="37"/>
      <c r="K14" s="37"/>
      <c r="L14" s="37"/>
      <c r="M14" s="37"/>
    </row>
    <row r="15" spans="1:13">
      <c r="A15" s="29" t="s">
        <v>79</v>
      </c>
      <c r="B15" s="38" t="s">
        <v>89</v>
      </c>
      <c r="C15" s="39">
        <v>1</v>
      </c>
      <c r="D15" s="39"/>
      <c r="E15" s="39">
        <v>27</v>
      </c>
      <c r="F15" s="29">
        <f>SUM(C15:E15)</f>
        <v>28</v>
      </c>
      <c r="G15" s="30"/>
      <c r="H15" s="30"/>
      <c r="I15" s="30"/>
      <c r="J15" s="30"/>
      <c r="K15" s="30"/>
      <c r="L15" s="30"/>
      <c r="M15" s="30"/>
    </row>
    <row r="16" spans="1:13">
      <c r="A16" s="39" t="s">
        <v>79</v>
      </c>
      <c r="B16" s="40" t="s">
        <v>90</v>
      </c>
      <c r="C16" s="39"/>
      <c r="D16" s="39">
        <v>3</v>
      </c>
      <c r="E16" s="39"/>
      <c r="F16" s="29">
        <f>SUM(C16:E16)</f>
        <v>3</v>
      </c>
      <c r="G16" s="30"/>
      <c r="H16" s="30"/>
      <c r="I16" s="30"/>
      <c r="J16" s="30"/>
      <c r="K16" s="30"/>
      <c r="L16" s="30"/>
      <c r="M16" s="30"/>
    </row>
  </sheetData>
  <mergeCells count="14">
    <mergeCell ref="H2:H4"/>
    <mergeCell ref="I2:I4"/>
    <mergeCell ref="J2:K3"/>
    <mergeCell ref="L2:M3"/>
    <mergeCell ref="A1:A4"/>
    <mergeCell ref="B1:B4"/>
    <mergeCell ref="C1:F1"/>
    <mergeCell ref="G1:I1"/>
    <mergeCell ref="J1:M1"/>
    <mergeCell ref="C2:C4"/>
    <mergeCell ref="D2:D4"/>
    <mergeCell ref="E2:E4"/>
    <mergeCell ref="F2:F4"/>
    <mergeCell ref="G2:G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7</vt:i4>
      </vt:variant>
    </vt:vector>
  </HeadingPairs>
  <TitlesOfParts>
    <vt:vector size="7" baseType="lpstr">
      <vt:lpstr>Sheet1</vt:lpstr>
      <vt:lpstr>Sheet2</vt:lpstr>
      <vt:lpstr>Sheet3</vt:lpstr>
      <vt:lpstr>Sheet4</vt:lpstr>
      <vt:lpstr>Sheet5</vt:lpstr>
      <vt:lpstr>Sheet6</vt:lpstr>
      <vt:lpstr>Sheet7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Vũ Thế Nguyên</dc:creator>
  <cp:lastModifiedBy>Nguyen Thi Thanh Huyen</cp:lastModifiedBy>
  <dcterms:created xsi:type="dcterms:W3CDTF">2025-12-02T15:26:56Z</dcterms:created>
  <dcterms:modified xsi:type="dcterms:W3CDTF">2026-03-11T12:40:51Z</dcterms:modified>
</cp:coreProperties>
</file>