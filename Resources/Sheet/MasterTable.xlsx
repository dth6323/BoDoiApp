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odenew\Resources\Sheet\"/>
    </mc:Choice>
  </mc:AlternateContent>
  <xr:revisionPtr revIDLastSave="0" documentId="13_ncr:1_{CAC13CB4-3187-451A-9B2A-51E67BFB0EF5}" xr6:coauthVersionLast="47" xr6:coauthVersionMax="47" xr10:uidLastSave="{00000000-0000-0000-0000-000000000000}"/>
  <bookViews>
    <workbookView xWindow="-120" yWindow="-120" windowWidth="29040" windowHeight="17640" tabRatio="820" xr2:uid="{B87E9449-1E4D-4A39-9C73-BFC7D823CE7D}"/>
  </bookViews>
  <sheets>
    <sheet name="QSTBKT" sheetId="1" r:id="rId1"/>
    <sheet name="TinhHinhVC" sheetId="14" r:id="rId2"/>
    <sheet name="ChiLenhHCKT" sheetId="13" r:id="rId3"/>
    <sheet name="DuKienKLVatChat" sheetId="12" r:id="rId4"/>
    <sheet name="PhanCapVCHC" sheetId="8" r:id="rId5"/>
    <sheet name="DuKienTiLeTBBB" sheetId="7" r:id="rId6"/>
    <sheet name="ToChucLucLuong" sheetId="18" r:id="rId7"/>
    <sheet name="Đạn" sheetId="3" r:id="rId8"/>
    <sheet name="VCHCVTKT" sheetId="5" r:id="rId9"/>
    <sheet name="TiLeVuKhiHuHong" sheetId="17" r:id="rId10"/>
    <sheet name="KhoiLuongVanTai" sheetId="10" r:id="rId11"/>
    <sheet name="KeHoachVanChuyen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7" l="1"/>
  <c r="K18" i="18" l="1"/>
  <c r="L18" i="18"/>
  <c r="M18" i="18"/>
  <c r="J18" i="18"/>
  <c r="F16" i="18"/>
  <c r="F15" i="18"/>
  <c r="F14" i="18"/>
  <c r="F13" i="18" s="1"/>
  <c r="E13" i="18"/>
  <c r="E18" i="18" s="1"/>
  <c r="D13" i="18"/>
  <c r="D18" i="18" s="1"/>
  <c r="C13" i="18"/>
  <c r="C18" i="18" s="1"/>
  <c r="F12" i="18"/>
  <c r="F11" i="18"/>
  <c r="F10" i="18"/>
  <c r="F9" i="18"/>
  <c r="F8" i="18"/>
  <c r="F7" i="18"/>
  <c r="F6" i="18"/>
  <c r="E5" i="18"/>
  <c r="D5" i="18"/>
  <c r="C5" i="18"/>
  <c r="M4" i="17"/>
  <c r="M5" i="17"/>
  <c r="M6" i="17"/>
  <c r="M7" i="17"/>
  <c r="M8" i="17"/>
  <c r="M9" i="17"/>
  <c r="M10" i="17"/>
  <c r="M11" i="17"/>
  <c r="M12" i="17"/>
  <c r="M3" i="17"/>
  <c r="L4" i="17"/>
  <c r="L5" i="17"/>
  <c r="L6" i="17"/>
  <c r="L7" i="17"/>
  <c r="L8" i="17"/>
  <c r="L9" i="17"/>
  <c r="L10" i="17"/>
  <c r="L11" i="17"/>
  <c r="L12" i="17"/>
  <c r="L3" i="17"/>
  <c r="C12" i="17"/>
  <c r="I12" i="17" s="1"/>
  <c r="C11" i="17"/>
  <c r="I11" i="17" s="1"/>
  <c r="C10" i="17"/>
  <c r="I10" i="17" s="1"/>
  <c r="C9" i="17"/>
  <c r="I9" i="17" s="1"/>
  <c r="C8" i="17"/>
  <c r="I8" i="17" s="1"/>
  <c r="C7" i="17"/>
  <c r="I7" i="17" s="1"/>
  <c r="C6" i="17"/>
  <c r="I6" i="17" s="1"/>
  <c r="C5" i="17"/>
  <c r="I5" i="17" s="1"/>
  <c r="C4" i="17"/>
  <c r="I4" i="17" s="1"/>
  <c r="C3" i="17"/>
  <c r="I3" i="17" s="1"/>
  <c r="B11" i="10"/>
  <c r="B6" i="10" s="1"/>
  <c r="B7" i="10"/>
  <c r="J11" i="10"/>
  <c r="J7" i="10"/>
  <c r="X81" i="5"/>
  <c r="P81" i="5"/>
  <c r="E80" i="5"/>
  <c r="E78" i="5"/>
  <c r="E73" i="5"/>
  <c r="E72" i="5"/>
  <c r="E70" i="5"/>
  <c r="E69" i="5"/>
  <c r="D80" i="5"/>
  <c r="D78" i="5"/>
  <c r="D73" i="5"/>
  <c r="D72" i="5"/>
  <c r="D70" i="5"/>
  <c r="D69" i="5"/>
  <c r="U81" i="5"/>
  <c r="U66" i="5"/>
  <c r="U51" i="5"/>
  <c r="R81" i="5"/>
  <c r="N81" i="5"/>
  <c r="J81" i="5"/>
  <c r="G81" i="5"/>
  <c r="H81" i="5"/>
  <c r="F81" i="5"/>
  <c r="F5" i="18" l="1"/>
  <c r="F18" i="18"/>
  <c r="F10" i="17"/>
  <c r="N10" i="17" s="1"/>
  <c r="G10" i="17"/>
  <c r="O10" i="17" s="1"/>
  <c r="F6" i="17"/>
  <c r="N6" i="17" s="1"/>
  <c r="G6" i="17"/>
  <c r="O6" i="17" s="1"/>
  <c r="E8" i="17"/>
  <c r="G8" i="17"/>
  <c r="O8" i="17" s="1"/>
  <c r="F8" i="17"/>
  <c r="N8" i="17" s="1"/>
  <c r="G11" i="17"/>
  <c r="O11" i="17" s="1"/>
  <c r="F11" i="17"/>
  <c r="N11" i="17" s="1"/>
  <c r="E11" i="17"/>
  <c r="H11" i="17" s="1"/>
  <c r="P11" i="17" s="1"/>
  <c r="F5" i="17"/>
  <c r="N5" i="17" s="1"/>
  <c r="G5" i="17"/>
  <c r="O5" i="17" s="1"/>
  <c r="E5" i="17"/>
  <c r="G7" i="17"/>
  <c r="O7" i="17" s="1"/>
  <c r="F7" i="17"/>
  <c r="N7" i="17" s="1"/>
  <c r="E7" i="17"/>
  <c r="H7" i="17" s="1"/>
  <c r="P7" i="17" s="1"/>
  <c r="E9" i="17"/>
  <c r="F9" i="17"/>
  <c r="N9" i="17" s="1"/>
  <c r="G9" i="17"/>
  <c r="O9" i="17" s="1"/>
  <c r="G3" i="17"/>
  <c r="O3" i="17" s="1"/>
  <c r="F3" i="17"/>
  <c r="N3" i="17" s="1"/>
  <c r="E3" i="17"/>
  <c r="H3" i="17" s="1"/>
  <c r="P3" i="17" s="1"/>
  <c r="E4" i="17"/>
  <c r="G4" i="17"/>
  <c r="O4" i="17" s="1"/>
  <c r="F4" i="17"/>
  <c r="N4" i="17" s="1"/>
  <c r="G12" i="17"/>
  <c r="O12" i="17" s="1"/>
  <c r="F12" i="17"/>
  <c r="N12" i="17" s="1"/>
  <c r="E12" i="17"/>
  <c r="H12" i="17" s="1"/>
  <c r="P12" i="17" s="1"/>
  <c r="E6" i="17"/>
  <c r="H6" i="17" s="1"/>
  <c r="P6" i="17" s="1"/>
  <c r="E10" i="17"/>
  <c r="H10" i="17" s="1"/>
  <c r="P10" i="17" s="1"/>
  <c r="J6" i="10"/>
  <c r="Y21" i="5"/>
  <c r="B9" i="7"/>
  <c r="B8" i="7"/>
  <c r="B7" i="7"/>
  <c r="B6" i="7"/>
  <c r="C6" i="1"/>
  <c r="D6" i="1"/>
  <c r="E6" i="1"/>
  <c r="F6" i="1"/>
  <c r="G6" i="1"/>
  <c r="H6" i="1"/>
  <c r="I6" i="1"/>
  <c r="J6" i="1"/>
  <c r="K6" i="1"/>
  <c r="L6" i="1"/>
  <c r="M6" i="1"/>
  <c r="N6" i="1"/>
  <c r="O6" i="1"/>
  <c r="B19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B36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B5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B81" i="1"/>
  <c r="D68" i="1"/>
  <c r="E68" i="1"/>
  <c r="F68" i="1"/>
  <c r="G68" i="1"/>
  <c r="H68" i="1"/>
  <c r="I68" i="1"/>
  <c r="J68" i="1"/>
  <c r="K68" i="1"/>
  <c r="L68" i="1"/>
  <c r="M68" i="1"/>
  <c r="N68" i="1"/>
  <c r="O68" i="1"/>
  <c r="U101" i="3"/>
  <c r="AA86" i="3"/>
  <c r="U86" i="3"/>
  <c r="U71" i="3"/>
  <c r="AA71" i="3"/>
  <c r="W71" i="3"/>
  <c r="C71" i="3"/>
  <c r="C56" i="3"/>
  <c r="AA56" i="3"/>
  <c r="U56" i="3"/>
  <c r="AI101" i="3"/>
  <c r="AI86" i="3"/>
  <c r="AI71" i="3"/>
  <c r="AI56" i="3"/>
  <c r="AU41" i="3"/>
  <c r="AO41" i="3"/>
  <c r="AI41" i="3"/>
  <c r="G41" i="3"/>
  <c r="H8" i="17" l="1"/>
  <c r="P8" i="17" s="1"/>
  <c r="H9" i="17"/>
  <c r="P9" i="17" s="1"/>
  <c r="H5" i="17"/>
  <c r="P5" i="17" s="1"/>
  <c r="H4" i="17"/>
  <c r="P4" i="17" s="1"/>
  <c r="AA101" i="3"/>
  <c r="C57" i="1" l="1"/>
  <c r="D57" i="1"/>
  <c r="E57" i="1"/>
  <c r="F57" i="1"/>
  <c r="G57" i="1"/>
  <c r="H57" i="1"/>
  <c r="I57" i="1"/>
  <c r="J57" i="1"/>
  <c r="K57" i="1"/>
  <c r="L57" i="1"/>
  <c r="M57" i="1"/>
  <c r="N57" i="1"/>
  <c r="O57" i="1"/>
  <c r="B57" i="1"/>
  <c r="B42" i="1"/>
  <c r="B25" i="1"/>
  <c r="B6" i="1"/>
  <c r="D11" i="5" l="1"/>
  <c r="D71" i="5" s="1"/>
  <c r="D10" i="5"/>
  <c r="D20" i="5"/>
  <c r="D13" i="5"/>
  <c r="D9" i="5"/>
  <c r="D12" i="5"/>
  <c r="D18" i="5"/>
  <c r="U14" i="5" l="1"/>
  <c r="S14" i="5"/>
  <c r="U19" i="5"/>
  <c r="S19" i="5"/>
  <c r="N19" i="5"/>
  <c r="U8" i="5"/>
  <c r="U7" i="5" s="1"/>
  <c r="S8" i="5"/>
  <c r="S7" i="5" s="1"/>
  <c r="E7" i="12"/>
  <c r="D7" i="12"/>
  <c r="C7" i="12"/>
  <c r="X69" i="5"/>
  <c r="X70" i="5"/>
  <c r="X71" i="5"/>
  <c r="X72" i="5"/>
  <c r="X73" i="5"/>
  <c r="X75" i="5"/>
  <c r="X76" i="5"/>
  <c r="X77" i="5"/>
  <c r="X78" i="5"/>
  <c r="X80" i="5"/>
  <c r="V70" i="5"/>
  <c r="V71" i="5"/>
  <c r="V72" i="5"/>
  <c r="V73" i="5"/>
  <c r="V75" i="5"/>
  <c r="V76" i="5"/>
  <c r="V77" i="5"/>
  <c r="V78" i="5"/>
  <c r="U77" i="5"/>
  <c r="U76" i="5"/>
  <c r="Y81" i="5"/>
  <c r="J77" i="5"/>
  <c r="J76" i="5"/>
  <c r="N77" i="5"/>
  <c r="N76" i="5"/>
  <c r="R77" i="5"/>
  <c r="R76" i="5"/>
  <c r="Y66" i="5"/>
  <c r="N80" i="5"/>
  <c r="N78" i="5"/>
  <c r="N75" i="5"/>
  <c r="N70" i="5"/>
  <c r="N71" i="5"/>
  <c r="N72" i="5"/>
  <c r="N73" i="5"/>
  <c r="N69" i="5"/>
  <c r="K80" i="5"/>
  <c r="K76" i="5"/>
  <c r="K77" i="5"/>
  <c r="K78" i="5"/>
  <c r="K75" i="5"/>
  <c r="K70" i="5"/>
  <c r="K71" i="5"/>
  <c r="K72" i="5"/>
  <c r="K73" i="5"/>
  <c r="K69" i="5"/>
  <c r="K81" i="5"/>
  <c r="J75" i="5"/>
  <c r="G77" i="5"/>
  <c r="H77" i="5"/>
  <c r="G76" i="5"/>
  <c r="H76" i="5"/>
  <c r="G75" i="5"/>
  <c r="H75" i="5"/>
  <c r="G70" i="5"/>
  <c r="G71" i="5"/>
  <c r="G72" i="5"/>
  <c r="G73" i="5"/>
  <c r="F77" i="5"/>
  <c r="F76" i="5"/>
  <c r="O69" i="5"/>
  <c r="O70" i="5"/>
  <c r="O71" i="5"/>
  <c r="O72" i="5"/>
  <c r="O73" i="5"/>
  <c r="O75" i="5"/>
  <c r="O76" i="5"/>
  <c r="O77" i="5"/>
  <c r="O78" i="5"/>
  <c r="O80" i="5"/>
  <c r="O81" i="5"/>
  <c r="X54" i="5"/>
  <c r="X55" i="5"/>
  <c r="X57" i="5"/>
  <c r="X58" i="5"/>
  <c r="X60" i="5"/>
  <c r="X61" i="5"/>
  <c r="X62" i="5"/>
  <c r="X63" i="5"/>
  <c r="X65" i="5"/>
  <c r="X66" i="5"/>
  <c r="U65" i="5"/>
  <c r="U63" i="5"/>
  <c r="U54" i="5"/>
  <c r="U55" i="5"/>
  <c r="U57" i="5"/>
  <c r="U58" i="5"/>
  <c r="P66" i="5"/>
  <c r="P51" i="5"/>
  <c r="P36" i="5"/>
  <c r="N65" i="5"/>
  <c r="N63" i="5"/>
  <c r="N58" i="5"/>
  <c r="N57" i="5"/>
  <c r="N56" i="5"/>
  <c r="N55" i="5"/>
  <c r="N54" i="5"/>
  <c r="K54" i="5"/>
  <c r="K55" i="5"/>
  <c r="K56" i="5"/>
  <c r="K57" i="5"/>
  <c r="K58" i="5"/>
  <c r="K60" i="5"/>
  <c r="K61" i="5"/>
  <c r="K62" i="5"/>
  <c r="K63" i="5"/>
  <c r="K65" i="5"/>
  <c r="K66" i="5"/>
  <c r="Y51" i="5"/>
  <c r="X39" i="5"/>
  <c r="X40" i="5"/>
  <c r="X42" i="5"/>
  <c r="X43" i="5"/>
  <c r="X45" i="5"/>
  <c r="X46" i="5"/>
  <c r="X47" i="5"/>
  <c r="X48" i="5"/>
  <c r="X50" i="5"/>
  <c r="X51" i="5"/>
  <c r="U39" i="5"/>
  <c r="U40" i="5"/>
  <c r="U42" i="5"/>
  <c r="U43" i="5"/>
  <c r="U48" i="5"/>
  <c r="R48" i="5"/>
  <c r="U50" i="5"/>
  <c r="R50" i="5"/>
  <c r="N50" i="5"/>
  <c r="N48" i="5"/>
  <c r="N40" i="5"/>
  <c r="N41" i="5"/>
  <c r="N42" i="5"/>
  <c r="N43" i="5"/>
  <c r="N39" i="5"/>
  <c r="K40" i="5"/>
  <c r="K41" i="5"/>
  <c r="K42" i="5"/>
  <c r="K43" i="5"/>
  <c r="K45" i="5"/>
  <c r="K46" i="5"/>
  <c r="K47" i="5"/>
  <c r="K48" i="5"/>
  <c r="K50" i="5"/>
  <c r="K51" i="5"/>
  <c r="K39" i="5"/>
  <c r="Y36" i="5"/>
  <c r="X28" i="5"/>
  <c r="X30" i="5"/>
  <c r="X31" i="5"/>
  <c r="X32" i="5"/>
  <c r="X33" i="5"/>
  <c r="X35" i="5"/>
  <c r="X36" i="5"/>
  <c r="X27" i="5"/>
  <c r="X24" i="5"/>
  <c r="X25" i="5"/>
  <c r="U28" i="5"/>
  <c r="U30" i="5"/>
  <c r="U31" i="5"/>
  <c r="U32" i="5"/>
  <c r="U33" i="5"/>
  <c r="U35" i="5"/>
  <c r="U36" i="5"/>
  <c r="U27" i="5"/>
  <c r="U24" i="5"/>
  <c r="U25" i="5"/>
  <c r="R35" i="5"/>
  <c r="N35" i="5"/>
  <c r="R33" i="5"/>
  <c r="N33" i="5"/>
  <c r="J33" i="5"/>
  <c r="G33" i="5"/>
  <c r="H33" i="5"/>
  <c r="F33" i="5"/>
  <c r="K30" i="5"/>
  <c r="K31" i="5"/>
  <c r="K32" i="5"/>
  <c r="K33" i="5"/>
  <c r="K35" i="5"/>
  <c r="K36" i="5"/>
  <c r="N28" i="5"/>
  <c r="N27" i="5"/>
  <c r="N25" i="5"/>
  <c r="N24" i="5"/>
  <c r="K28" i="5"/>
  <c r="K27" i="5"/>
  <c r="K25" i="5"/>
  <c r="K24" i="5"/>
  <c r="G24" i="5"/>
  <c r="H24" i="5"/>
  <c r="G25" i="5"/>
  <c r="H25" i="5"/>
  <c r="G27" i="5"/>
  <c r="H27" i="5"/>
  <c r="G28" i="5"/>
  <c r="H28" i="5"/>
  <c r="F25" i="5"/>
  <c r="F27" i="5"/>
  <c r="F28" i="5"/>
  <c r="R21" i="5"/>
  <c r="N21" i="5"/>
  <c r="L21" i="5"/>
  <c r="P21" i="5" s="1"/>
  <c r="R15" i="5"/>
  <c r="R16" i="5"/>
  <c r="R17" i="5"/>
  <c r="R18" i="5"/>
  <c r="R20" i="5"/>
  <c r="R10" i="5"/>
  <c r="R11" i="5"/>
  <c r="R12" i="5"/>
  <c r="R13" i="5"/>
  <c r="R9" i="5"/>
  <c r="N10" i="5"/>
  <c r="N11" i="5"/>
  <c r="N12" i="5"/>
  <c r="N13" i="5"/>
  <c r="N15" i="5"/>
  <c r="N16" i="5"/>
  <c r="N17" i="5"/>
  <c r="N18" i="5"/>
  <c r="N20" i="5"/>
  <c r="N9" i="5"/>
  <c r="L10" i="5"/>
  <c r="L11" i="5"/>
  <c r="L12" i="5"/>
  <c r="L13" i="5"/>
  <c r="L15" i="5"/>
  <c r="L16" i="5"/>
  <c r="L17" i="5"/>
  <c r="L18" i="5"/>
  <c r="L20" i="5"/>
  <c r="L9" i="5"/>
  <c r="H10" i="5"/>
  <c r="H11" i="5"/>
  <c r="H12" i="5"/>
  <c r="X12" i="5" s="1"/>
  <c r="H13" i="5"/>
  <c r="H15" i="5"/>
  <c r="H16" i="5"/>
  <c r="H17" i="5"/>
  <c r="H18" i="5"/>
  <c r="H20" i="5"/>
  <c r="H21" i="5"/>
  <c r="G10" i="5"/>
  <c r="G11" i="5"/>
  <c r="G12" i="5"/>
  <c r="G13" i="5"/>
  <c r="G15" i="5"/>
  <c r="G16" i="5"/>
  <c r="G17" i="5"/>
  <c r="G18" i="5"/>
  <c r="G20" i="5"/>
  <c r="G21" i="5"/>
  <c r="V81" i="5" s="1"/>
  <c r="J10" i="5"/>
  <c r="J11" i="5"/>
  <c r="J12" i="5"/>
  <c r="J13" i="5"/>
  <c r="J15" i="5"/>
  <c r="J16" i="5"/>
  <c r="J17" i="5"/>
  <c r="J18" i="5"/>
  <c r="J20" i="5"/>
  <c r="J21" i="5"/>
  <c r="J9" i="5"/>
  <c r="K10" i="5"/>
  <c r="K11" i="5"/>
  <c r="K12" i="5"/>
  <c r="K13" i="5"/>
  <c r="K15" i="5"/>
  <c r="K16" i="5"/>
  <c r="K17" i="5"/>
  <c r="K18" i="5"/>
  <c r="K20" i="5"/>
  <c r="K21" i="5"/>
  <c r="K9" i="5"/>
  <c r="AB39" i="3"/>
  <c r="AA41" i="3"/>
  <c r="Y40" i="3"/>
  <c r="Y100" i="3" s="1"/>
  <c r="Y32" i="3"/>
  <c r="Y92" i="3" s="1"/>
  <c r="V37" i="3"/>
  <c r="V97" i="3" s="1"/>
  <c r="V38" i="3"/>
  <c r="V39" i="3"/>
  <c r="V99" i="3" s="1"/>
  <c r="V40" i="3"/>
  <c r="V41" i="3"/>
  <c r="V101" i="3" s="1"/>
  <c r="V36" i="3"/>
  <c r="V96" i="3" s="1"/>
  <c r="V32" i="3"/>
  <c r="V92" i="3" s="1"/>
  <c r="V33" i="3"/>
  <c r="V93" i="3" s="1"/>
  <c r="V34" i="3"/>
  <c r="V94" i="3" s="1"/>
  <c r="V31" i="3"/>
  <c r="V91" i="3" s="1"/>
  <c r="V29" i="3"/>
  <c r="V89" i="3" s="1"/>
  <c r="S41" i="3"/>
  <c r="Y41" i="3" s="1"/>
  <c r="Y101" i="3" s="1"/>
  <c r="S40" i="3"/>
  <c r="S39" i="3"/>
  <c r="Y39" i="3" s="1"/>
  <c r="Y99" i="3" s="1"/>
  <c r="S38" i="3"/>
  <c r="S37" i="3"/>
  <c r="Y37" i="3" s="1"/>
  <c r="Y97" i="3" s="1"/>
  <c r="S36" i="3"/>
  <c r="S96" i="3" s="1"/>
  <c r="S34" i="3"/>
  <c r="S94" i="3" s="1"/>
  <c r="S33" i="3"/>
  <c r="S93" i="3" s="1"/>
  <c r="S32" i="3"/>
  <c r="S92" i="3" s="1"/>
  <c r="S31" i="3"/>
  <c r="S91" i="3" s="1"/>
  <c r="S29" i="3"/>
  <c r="Y29" i="3" s="1"/>
  <c r="Y89" i="3" s="1"/>
  <c r="J41" i="3"/>
  <c r="J101" i="3" s="1"/>
  <c r="S99" i="3"/>
  <c r="S100" i="3"/>
  <c r="O41" i="3"/>
  <c r="O101" i="3" s="1"/>
  <c r="O40" i="3"/>
  <c r="O39" i="3"/>
  <c r="O38" i="3"/>
  <c r="O37" i="3"/>
  <c r="O97" i="3" s="1"/>
  <c r="O36" i="3"/>
  <c r="O34" i="3"/>
  <c r="O33" i="3"/>
  <c r="O93" i="3" s="1"/>
  <c r="O32" i="3"/>
  <c r="X32" i="3" s="1"/>
  <c r="O31" i="3"/>
  <c r="O29" i="3"/>
  <c r="O89" i="3" s="1"/>
  <c r="L41" i="3"/>
  <c r="U41" i="3" s="1"/>
  <c r="L40" i="3"/>
  <c r="U40" i="3" s="1"/>
  <c r="L39" i="3"/>
  <c r="U39" i="3" s="1"/>
  <c r="L38" i="3"/>
  <c r="U38" i="3" s="1"/>
  <c r="L37" i="3"/>
  <c r="U37" i="3" s="1"/>
  <c r="L36" i="3"/>
  <c r="L51" i="3" s="1"/>
  <c r="L34" i="3"/>
  <c r="L49" i="3" s="1"/>
  <c r="L33" i="3"/>
  <c r="L48" i="3" s="1"/>
  <c r="L32" i="3"/>
  <c r="U32" i="3" s="1"/>
  <c r="L31" i="3"/>
  <c r="U31" i="3" s="1"/>
  <c r="L29" i="3"/>
  <c r="U29" i="3" s="1"/>
  <c r="U44" i="3" s="1"/>
  <c r="J29" i="3"/>
  <c r="J89" i="3" s="1"/>
  <c r="J31" i="3"/>
  <c r="AB31" i="3" s="1"/>
  <c r="AB91" i="3" s="1"/>
  <c r="J32" i="3"/>
  <c r="AB32" i="3" s="1"/>
  <c r="AB92" i="3" s="1"/>
  <c r="J33" i="3"/>
  <c r="AB33" i="3" s="1"/>
  <c r="AB93" i="3" s="1"/>
  <c r="J34" i="3"/>
  <c r="AB34" i="3" s="1"/>
  <c r="AB94" i="3" s="1"/>
  <c r="J36" i="3"/>
  <c r="AB36" i="3" s="1"/>
  <c r="AB96" i="3" s="1"/>
  <c r="J37" i="3"/>
  <c r="J38" i="3"/>
  <c r="J39" i="3"/>
  <c r="J40" i="3"/>
  <c r="AB40" i="3" s="1"/>
  <c r="AB100" i="3" s="1"/>
  <c r="P89" i="3"/>
  <c r="P91" i="3"/>
  <c r="P92" i="3"/>
  <c r="P93" i="3"/>
  <c r="P94" i="3"/>
  <c r="P96" i="3"/>
  <c r="P97" i="3"/>
  <c r="P98" i="3"/>
  <c r="P99" i="3"/>
  <c r="P100" i="3"/>
  <c r="V98" i="3"/>
  <c r="V100" i="3"/>
  <c r="AB99" i="3"/>
  <c r="P101" i="3"/>
  <c r="M89" i="3"/>
  <c r="M91" i="3"/>
  <c r="M92" i="3"/>
  <c r="M93" i="3"/>
  <c r="M94" i="3"/>
  <c r="M96" i="3"/>
  <c r="M97" i="3"/>
  <c r="M98" i="3"/>
  <c r="M99" i="3"/>
  <c r="M100" i="3"/>
  <c r="M101" i="3"/>
  <c r="J92" i="3"/>
  <c r="J93" i="3"/>
  <c r="J94" i="3"/>
  <c r="J96" i="3"/>
  <c r="J97" i="3"/>
  <c r="J98" i="3"/>
  <c r="J100" i="3"/>
  <c r="R96" i="3"/>
  <c r="R97" i="3"/>
  <c r="R98" i="3"/>
  <c r="R99" i="3"/>
  <c r="R100" i="3"/>
  <c r="I91" i="3"/>
  <c r="I92" i="3"/>
  <c r="I93" i="3"/>
  <c r="I94" i="3"/>
  <c r="I96" i="3"/>
  <c r="I97" i="3"/>
  <c r="I98" i="3"/>
  <c r="I99" i="3"/>
  <c r="I100" i="3"/>
  <c r="I89" i="3"/>
  <c r="R81" i="3"/>
  <c r="R82" i="3"/>
  <c r="R83" i="3"/>
  <c r="R84" i="3"/>
  <c r="R85" i="3"/>
  <c r="I74" i="3"/>
  <c r="I76" i="3"/>
  <c r="I77" i="3"/>
  <c r="I78" i="3"/>
  <c r="I79" i="3"/>
  <c r="I81" i="3"/>
  <c r="I82" i="3"/>
  <c r="I83" i="3"/>
  <c r="I84" i="3"/>
  <c r="I85" i="3"/>
  <c r="R70" i="3"/>
  <c r="R69" i="3"/>
  <c r="R68" i="3"/>
  <c r="R67" i="3"/>
  <c r="R66" i="3"/>
  <c r="I70" i="3"/>
  <c r="I69" i="3"/>
  <c r="I68" i="3"/>
  <c r="I67" i="3"/>
  <c r="I66" i="3"/>
  <c r="I64" i="3"/>
  <c r="I63" i="3"/>
  <c r="I62" i="3"/>
  <c r="I61" i="3"/>
  <c r="I59" i="3"/>
  <c r="C60" i="3"/>
  <c r="R46" i="3"/>
  <c r="R61" i="3" s="1"/>
  <c r="R47" i="3"/>
  <c r="R62" i="3" s="1"/>
  <c r="R48" i="3"/>
  <c r="R63" i="3" s="1"/>
  <c r="R49" i="3"/>
  <c r="R64" i="3" s="1"/>
  <c r="R51" i="3"/>
  <c r="R52" i="3"/>
  <c r="R53" i="3"/>
  <c r="R54" i="3"/>
  <c r="R55" i="3"/>
  <c r="R44" i="3"/>
  <c r="R59" i="3" s="1"/>
  <c r="R74" i="3" s="1"/>
  <c r="R89" i="3" s="1"/>
  <c r="L52" i="3"/>
  <c r="L54" i="3"/>
  <c r="L69" i="3" s="1"/>
  <c r="L55" i="3"/>
  <c r="L44" i="3"/>
  <c r="L59" i="3" s="1"/>
  <c r="I46" i="3"/>
  <c r="I47" i="3"/>
  <c r="I48" i="3"/>
  <c r="I49" i="3"/>
  <c r="I51" i="3"/>
  <c r="I52" i="3"/>
  <c r="I53" i="3"/>
  <c r="I54" i="3"/>
  <c r="I55" i="3"/>
  <c r="I44" i="3"/>
  <c r="B45" i="3"/>
  <c r="B50" i="3"/>
  <c r="AI30" i="3"/>
  <c r="AI35" i="3"/>
  <c r="AL29" i="3"/>
  <c r="AL34" i="3"/>
  <c r="AO34" i="3" s="1"/>
  <c r="AL31" i="3"/>
  <c r="AO31" i="3" s="1"/>
  <c r="AL32" i="3"/>
  <c r="AO32" i="3" s="1"/>
  <c r="AL33" i="3"/>
  <c r="AO33" i="3" s="1"/>
  <c r="AL36" i="3"/>
  <c r="AO36" i="3" s="1"/>
  <c r="S89" i="3" l="1"/>
  <c r="AB41" i="3"/>
  <c r="AB101" i="3" s="1"/>
  <c r="S101" i="3"/>
  <c r="X41" i="3"/>
  <c r="X101" i="3" s="1"/>
  <c r="X21" i="5"/>
  <c r="X11" i="5"/>
  <c r="X10" i="5"/>
  <c r="X18" i="5"/>
  <c r="V20" i="5"/>
  <c r="V80" i="5" s="1"/>
  <c r="X17" i="5"/>
  <c r="V18" i="5"/>
  <c r="X16" i="5"/>
  <c r="X15" i="5"/>
  <c r="X13" i="5"/>
  <c r="Y36" i="3"/>
  <c r="Y96" i="3" s="1"/>
  <c r="S97" i="3"/>
  <c r="AB38" i="3"/>
  <c r="AB98" i="3" s="1"/>
  <c r="AB37" i="3"/>
  <c r="AB97" i="3" s="1"/>
  <c r="U16" i="5"/>
  <c r="C86" i="3"/>
  <c r="X34" i="3"/>
  <c r="Y38" i="3"/>
  <c r="Y98" i="3" s="1"/>
  <c r="U15" i="5"/>
  <c r="X36" i="3"/>
  <c r="S98" i="3"/>
  <c r="AB29" i="3"/>
  <c r="AB89" i="3" s="1"/>
  <c r="J91" i="3"/>
  <c r="Y31" i="3"/>
  <c r="Y91" i="3" s="1"/>
  <c r="Y34" i="3"/>
  <c r="Y94" i="3" s="1"/>
  <c r="Y33" i="3"/>
  <c r="Y93" i="3" s="1"/>
  <c r="X20" i="5"/>
  <c r="L46" i="3"/>
  <c r="L61" i="3" s="1"/>
  <c r="O96" i="3"/>
  <c r="X38" i="3"/>
  <c r="X98" i="3" s="1"/>
  <c r="X37" i="3"/>
  <c r="L67" i="3"/>
  <c r="U11" i="5"/>
  <c r="U10" i="5"/>
  <c r="V13" i="5"/>
  <c r="U12" i="5"/>
  <c r="U21" i="5"/>
  <c r="V12" i="5"/>
  <c r="U20" i="5"/>
  <c r="V10" i="5"/>
  <c r="U13" i="5"/>
  <c r="U18" i="5"/>
  <c r="U17" i="5"/>
  <c r="U54" i="3"/>
  <c r="U69" i="3" s="1"/>
  <c r="U46" i="3"/>
  <c r="U61" i="3" s="1"/>
  <c r="X40" i="3"/>
  <c r="X100" i="3" s="1"/>
  <c r="L53" i="3"/>
  <c r="L68" i="3" s="1"/>
  <c r="X39" i="3"/>
  <c r="X99" i="3" s="1"/>
  <c r="O100" i="3"/>
  <c r="X94" i="3"/>
  <c r="L47" i="3"/>
  <c r="O94" i="3"/>
  <c r="U34" i="3"/>
  <c r="O99" i="3"/>
  <c r="O98" i="3"/>
  <c r="X33" i="3"/>
  <c r="L63" i="3"/>
  <c r="L78" i="3" s="1"/>
  <c r="X92" i="3"/>
  <c r="U52" i="3"/>
  <c r="X96" i="3"/>
  <c r="U53" i="3"/>
  <c r="L64" i="3"/>
  <c r="U47" i="3"/>
  <c r="U36" i="3"/>
  <c r="U55" i="3"/>
  <c r="X29" i="3"/>
  <c r="X89" i="3" s="1"/>
  <c r="X31" i="3"/>
  <c r="O91" i="3"/>
  <c r="L70" i="3"/>
  <c r="L85" i="3" s="1"/>
  <c r="L100" i="3" s="1"/>
  <c r="O92" i="3"/>
  <c r="U33" i="3"/>
  <c r="U84" i="3"/>
  <c r="U62" i="3"/>
  <c r="U76" i="3"/>
  <c r="U59" i="3"/>
  <c r="R79" i="3"/>
  <c r="R78" i="3"/>
  <c r="R77" i="3"/>
  <c r="R76" i="3"/>
  <c r="L84" i="3"/>
  <c r="L83" i="3"/>
  <c r="L66" i="3"/>
  <c r="L76" i="3"/>
  <c r="L74" i="3"/>
  <c r="C101" i="3" l="1"/>
  <c r="X97" i="3"/>
  <c r="L79" i="3"/>
  <c r="L82" i="3"/>
  <c r="L97" i="3" s="1"/>
  <c r="L62" i="3"/>
  <c r="U49" i="3"/>
  <c r="X93" i="3"/>
  <c r="U68" i="3"/>
  <c r="U67" i="3"/>
  <c r="U48" i="3"/>
  <c r="U51" i="3"/>
  <c r="X91" i="3"/>
  <c r="U70" i="3"/>
  <c r="U99" i="3"/>
  <c r="U77" i="3"/>
  <c r="U91" i="3"/>
  <c r="U74" i="3"/>
  <c r="R94" i="3"/>
  <c r="R93" i="3"/>
  <c r="R92" i="3"/>
  <c r="R91" i="3"/>
  <c r="L99" i="3"/>
  <c r="L98" i="3"/>
  <c r="L81" i="3"/>
  <c r="L94" i="3"/>
  <c r="L93" i="3"/>
  <c r="L91" i="3"/>
  <c r="L89" i="3"/>
  <c r="L77" i="3" l="1"/>
  <c r="U64" i="3"/>
  <c r="U63" i="3"/>
  <c r="U66" i="3"/>
  <c r="U82" i="3"/>
  <c r="U85" i="3"/>
  <c r="U83" i="3"/>
  <c r="U92" i="3"/>
  <c r="U89" i="3"/>
  <c r="L96" i="3"/>
  <c r="L92" i="3" l="1"/>
  <c r="U79" i="3"/>
  <c r="U97" i="3"/>
  <c r="U81" i="3"/>
  <c r="U98" i="3"/>
  <c r="U100" i="3"/>
  <c r="U78" i="3"/>
  <c r="U94" i="3" l="1"/>
  <c r="U96" i="3"/>
  <c r="U93" i="3"/>
  <c r="H49" i="11" l="1"/>
  <c r="H44" i="11"/>
  <c r="H38" i="11"/>
  <c r="H33" i="11"/>
  <c r="H27" i="11"/>
  <c r="C10" i="7"/>
  <c r="B10" i="7"/>
  <c r="H10" i="7" s="1"/>
  <c r="H9" i="7"/>
  <c r="H8" i="7"/>
  <c r="D7" i="7"/>
  <c r="H6" i="7"/>
  <c r="C5" i="7"/>
  <c r="H5" i="7"/>
  <c r="I18" i="8"/>
  <c r="G18" i="8" s="1"/>
  <c r="I21" i="5" s="1"/>
  <c r="F18" i="8"/>
  <c r="D18" i="8" s="1"/>
  <c r="Q21" i="5" s="1"/>
  <c r="I17" i="8"/>
  <c r="G17" i="8" s="1"/>
  <c r="I20" i="5" s="1"/>
  <c r="F17" i="8"/>
  <c r="D17" i="8" s="1"/>
  <c r="Q20" i="5" s="1"/>
  <c r="I15" i="8"/>
  <c r="G15" i="8" s="1"/>
  <c r="I18" i="5" s="1"/>
  <c r="F15" i="8"/>
  <c r="D15" i="8" s="1"/>
  <c r="Q18" i="5" s="1"/>
  <c r="I14" i="8"/>
  <c r="G14" i="8" s="1"/>
  <c r="I17" i="5" s="1"/>
  <c r="W17" i="5" s="1"/>
  <c r="F14" i="8"/>
  <c r="D14" i="8" s="1"/>
  <c r="Q17" i="5" s="1"/>
  <c r="I13" i="8"/>
  <c r="G13" i="8" s="1"/>
  <c r="I16" i="5" s="1"/>
  <c r="F13" i="8"/>
  <c r="D13" i="8" s="1"/>
  <c r="Q16" i="5" s="1"/>
  <c r="I12" i="8"/>
  <c r="G12" i="8" s="1"/>
  <c r="I15" i="5" s="1"/>
  <c r="F12" i="8"/>
  <c r="D12" i="8" s="1"/>
  <c r="Q15" i="5" s="1"/>
  <c r="I10" i="8"/>
  <c r="G10" i="8" s="1"/>
  <c r="I13" i="5" s="1"/>
  <c r="F10" i="8"/>
  <c r="D10" i="8"/>
  <c r="Q13" i="5" s="1"/>
  <c r="I9" i="8"/>
  <c r="G9" i="8" s="1"/>
  <c r="I12" i="5" s="1"/>
  <c r="F9" i="8"/>
  <c r="D9" i="8" s="1"/>
  <c r="Q12" i="5" s="1"/>
  <c r="I8" i="8"/>
  <c r="G8" i="8" s="1"/>
  <c r="I11" i="5" s="1"/>
  <c r="F8" i="8"/>
  <c r="D8" i="8" s="1"/>
  <c r="Q11" i="5" s="1"/>
  <c r="I7" i="8"/>
  <c r="G7" i="8" s="1"/>
  <c r="I10" i="5" s="1"/>
  <c r="F7" i="8"/>
  <c r="D7" i="8" s="1"/>
  <c r="Q10" i="5" s="1"/>
  <c r="I6" i="8"/>
  <c r="G6" i="8" s="1"/>
  <c r="I9" i="5" s="1"/>
  <c r="F6" i="8"/>
  <c r="D6" i="8"/>
  <c r="Q9" i="5" s="1"/>
  <c r="D29" i="13"/>
  <c r="F21" i="5" s="1"/>
  <c r="D28" i="13"/>
  <c r="F20" i="5" s="1"/>
  <c r="F80" i="5" s="1"/>
  <c r="D26" i="13"/>
  <c r="F18" i="5" s="1"/>
  <c r="D25" i="13"/>
  <c r="F17" i="5" s="1"/>
  <c r="D24" i="13"/>
  <c r="F16" i="5" s="1"/>
  <c r="D23" i="13"/>
  <c r="F15" i="5" s="1"/>
  <c r="D21" i="13"/>
  <c r="D20" i="13"/>
  <c r="D19" i="13"/>
  <c r="D18" i="13"/>
  <c r="D17" i="13"/>
  <c r="D15" i="13"/>
  <c r="D14" i="13"/>
  <c r="C41" i="3" s="1"/>
  <c r="D13" i="13"/>
  <c r="C36" i="3" s="1"/>
  <c r="D12" i="13"/>
  <c r="C34" i="3" s="1"/>
  <c r="D11" i="13"/>
  <c r="C33" i="3" s="1"/>
  <c r="D10" i="13"/>
  <c r="C32" i="3" s="1"/>
  <c r="D9" i="13"/>
  <c r="C31" i="3" s="1"/>
  <c r="D8" i="13"/>
  <c r="C29" i="3" s="1"/>
  <c r="D7" i="13"/>
  <c r="C37" i="3" s="1"/>
  <c r="D6" i="13"/>
  <c r="C38" i="3" s="1"/>
  <c r="D5" i="13"/>
  <c r="C40" i="3" s="1"/>
  <c r="G40" i="3"/>
  <c r="AA40" i="3" s="1"/>
  <c r="G39" i="3"/>
  <c r="AA39" i="3" s="1"/>
  <c r="G38" i="3"/>
  <c r="AA38" i="3" s="1"/>
  <c r="AL41" i="3"/>
  <c r="G37" i="3"/>
  <c r="AA37" i="3" s="1"/>
  <c r="AL40" i="3"/>
  <c r="AO40" i="3" s="1"/>
  <c r="G36" i="3"/>
  <c r="AA36" i="3" s="1"/>
  <c r="AL39" i="3"/>
  <c r="AO39" i="3" s="1"/>
  <c r="AL38" i="3"/>
  <c r="AO38" i="3" s="1"/>
  <c r="G34" i="3"/>
  <c r="AA34" i="3" s="1"/>
  <c r="AL37" i="3"/>
  <c r="AO37" i="3" s="1"/>
  <c r="G33" i="3"/>
  <c r="AA33" i="3" s="1"/>
  <c r="G32" i="3"/>
  <c r="AA32" i="3" s="1"/>
  <c r="G31" i="3"/>
  <c r="AA31" i="3" s="1"/>
  <c r="G29" i="3"/>
  <c r="AA29" i="3" s="1"/>
  <c r="R21" i="3"/>
  <c r="O21" i="3"/>
  <c r="L21" i="3"/>
  <c r="K21" i="3"/>
  <c r="I21" i="3"/>
  <c r="H21" i="3"/>
  <c r="F21" i="3"/>
  <c r="E21" i="3"/>
  <c r="D21" i="3"/>
  <c r="C21" i="3"/>
  <c r="B21" i="3"/>
  <c r="R20" i="3"/>
  <c r="O20" i="3"/>
  <c r="L20" i="3"/>
  <c r="K20" i="3"/>
  <c r="C20" i="3"/>
  <c r="B20" i="3"/>
  <c r="R19" i="3"/>
  <c r="O19" i="3"/>
  <c r="L19" i="3"/>
  <c r="I19" i="3"/>
  <c r="H19" i="3"/>
  <c r="F19" i="3"/>
  <c r="E19" i="3"/>
  <c r="D19" i="3"/>
  <c r="C19" i="3"/>
  <c r="B19" i="3"/>
  <c r="R9" i="3"/>
  <c r="R8" i="3" s="1"/>
  <c r="O9" i="3"/>
  <c r="O8" i="3" s="1"/>
  <c r="L9" i="3"/>
  <c r="L8" i="3" s="1"/>
  <c r="K9" i="3"/>
  <c r="K8" i="3" s="1"/>
  <c r="I9" i="3"/>
  <c r="I8" i="3" s="1"/>
  <c r="H9" i="3"/>
  <c r="H8" i="3" s="1"/>
  <c r="F9" i="3"/>
  <c r="F8" i="3" s="1"/>
  <c r="E9" i="3"/>
  <c r="E8" i="3" s="1"/>
  <c r="D9" i="3"/>
  <c r="D8" i="3" s="1"/>
  <c r="C9" i="3"/>
  <c r="C8" i="3" s="1"/>
  <c r="B9" i="3"/>
  <c r="B8" i="3" s="1"/>
  <c r="U7" i="3"/>
  <c r="O7" i="3"/>
  <c r="L7" i="3"/>
  <c r="K7" i="3"/>
  <c r="I7" i="3"/>
  <c r="H7" i="3"/>
  <c r="F7" i="3"/>
  <c r="U6" i="3"/>
  <c r="O6" i="3"/>
  <c r="Q14" i="3" s="1"/>
  <c r="L6" i="3"/>
  <c r="K6" i="3"/>
  <c r="I6" i="3"/>
  <c r="H6" i="3"/>
  <c r="F6" i="3"/>
  <c r="U5" i="3"/>
  <c r="O5" i="3"/>
  <c r="Q16" i="3" s="1"/>
  <c r="L5" i="3"/>
  <c r="K5" i="3"/>
  <c r="I5" i="3"/>
  <c r="H5" i="3"/>
  <c r="F5" i="3"/>
  <c r="F30" i="14"/>
  <c r="F28" i="14"/>
  <c r="F26" i="14"/>
  <c r="F25" i="14"/>
  <c r="F24" i="14"/>
  <c r="F23" i="14"/>
  <c r="F21" i="14"/>
  <c r="F20" i="14"/>
  <c r="F19" i="14"/>
  <c r="F18" i="14"/>
  <c r="F17" i="14"/>
  <c r="F14" i="14"/>
  <c r="F13" i="14"/>
  <c r="F11" i="14"/>
  <c r="F10" i="14"/>
  <c r="F9" i="14"/>
  <c r="F8" i="14"/>
  <c r="F7" i="14"/>
  <c r="F6" i="14"/>
  <c r="F5" i="14"/>
  <c r="R80" i="5"/>
  <c r="J80" i="5"/>
  <c r="H80" i="5"/>
  <c r="G80" i="5"/>
  <c r="U78" i="5"/>
  <c r="R78" i="5"/>
  <c r="J78" i="5"/>
  <c r="H78" i="5"/>
  <c r="G78" i="5"/>
  <c r="U75" i="5"/>
  <c r="R75" i="5"/>
  <c r="R41" i="5"/>
  <c r="R56" i="5" s="1"/>
  <c r="J41" i="5"/>
  <c r="J56" i="5" s="1"/>
  <c r="H41" i="5"/>
  <c r="H56" i="5" s="1"/>
  <c r="G41" i="5"/>
  <c r="G56" i="5" s="1"/>
  <c r="J35" i="5"/>
  <c r="H35" i="5"/>
  <c r="G35" i="5"/>
  <c r="R63" i="5"/>
  <c r="J48" i="5"/>
  <c r="J63" i="5" s="1"/>
  <c r="H48" i="5"/>
  <c r="H63" i="5" s="1"/>
  <c r="G48" i="5"/>
  <c r="U80" i="5"/>
  <c r="F48" i="5"/>
  <c r="F63" i="5" s="1"/>
  <c r="J28" i="5"/>
  <c r="J43" i="5" s="1"/>
  <c r="J58" i="5" s="1"/>
  <c r="R27" i="5"/>
  <c r="R42" i="5" s="1"/>
  <c r="R57" i="5" s="1"/>
  <c r="J27" i="5"/>
  <c r="J42" i="5" s="1"/>
  <c r="J57" i="5" s="1"/>
  <c r="H72" i="5"/>
  <c r="J71" i="5"/>
  <c r="H71" i="5"/>
  <c r="R25" i="5"/>
  <c r="R40" i="5" s="1"/>
  <c r="R55" i="5" s="1"/>
  <c r="J70" i="5"/>
  <c r="H70" i="5"/>
  <c r="R69" i="5"/>
  <c r="J24" i="5"/>
  <c r="H9" i="5"/>
  <c r="G9" i="5"/>
  <c r="F9" i="5"/>
  <c r="F24" i="5" s="1"/>
  <c r="F39" i="5" s="1"/>
  <c r="F54" i="5" s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J62" i="1"/>
  <c r="O59" i="1"/>
  <c r="O62" i="1" s="1"/>
  <c r="N59" i="1"/>
  <c r="N62" i="1" s="1"/>
  <c r="M59" i="1"/>
  <c r="M62" i="1" s="1"/>
  <c r="L59" i="1"/>
  <c r="L62" i="1" s="1"/>
  <c r="K59" i="1"/>
  <c r="K62" i="1" s="1"/>
  <c r="I59" i="1"/>
  <c r="I62" i="1" s="1"/>
  <c r="H59" i="1"/>
  <c r="H62" i="1" s="1"/>
  <c r="G59" i="1"/>
  <c r="G62" i="1" s="1"/>
  <c r="F59" i="1"/>
  <c r="F62" i="1" s="1"/>
  <c r="E59" i="1"/>
  <c r="E62" i="1" s="1"/>
  <c r="D59" i="1"/>
  <c r="D62" i="1" s="1"/>
  <c r="C59" i="1"/>
  <c r="C62" i="1" s="1"/>
  <c r="B59" i="1"/>
  <c r="B62" i="1" s="1"/>
  <c r="I51" i="1"/>
  <c r="O44" i="1"/>
  <c r="O51" i="1" s="1"/>
  <c r="N44" i="1"/>
  <c r="N51" i="1" s="1"/>
  <c r="M44" i="1"/>
  <c r="M51" i="1" s="1"/>
  <c r="L44" i="1"/>
  <c r="L51" i="1" s="1"/>
  <c r="K44" i="1"/>
  <c r="K51" i="1" s="1"/>
  <c r="J44" i="1"/>
  <c r="J51" i="1" s="1"/>
  <c r="I44" i="1"/>
  <c r="H44" i="1"/>
  <c r="H51" i="1" s="1"/>
  <c r="G44" i="1"/>
  <c r="G51" i="1" s="1"/>
  <c r="F44" i="1"/>
  <c r="F51" i="1" s="1"/>
  <c r="E44" i="1"/>
  <c r="E51" i="1" s="1"/>
  <c r="D44" i="1"/>
  <c r="D51" i="1" s="1"/>
  <c r="C44" i="1"/>
  <c r="C51" i="1" s="1"/>
  <c r="B44" i="1"/>
  <c r="H31" i="1"/>
  <c r="H27" i="1" s="1"/>
  <c r="H36" i="1" s="1"/>
  <c r="O27" i="1"/>
  <c r="O36" i="1" s="1"/>
  <c r="N27" i="1"/>
  <c r="N36" i="1" s="1"/>
  <c r="M27" i="1"/>
  <c r="M36" i="1" s="1"/>
  <c r="L27" i="1"/>
  <c r="L36" i="1" s="1"/>
  <c r="K27" i="1"/>
  <c r="K36" i="1" s="1"/>
  <c r="J27" i="1"/>
  <c r="J36" i="1" s="1"/>
  <c r="I27" i="1"/>
  <c r="I36" i="1" s="1"/>
  <c r="G27" i="1"/>
  <c r="G36" i="1" s="1"/>
  <c r="F27" i="1"/>
  <c r="F36" i="1" s="1"/>
  <c r="E27" i="1"/>
  <c r="E36" i="1" s="1"/>
  <c r="D27" i="1"/>
  <c r="D36" i="1" s="1"/>
  <c r="C27" i="1"/>
  <c r="C36" i="1" s="1"/>
  <c r="B27" i="1"/>
  <c r="O8" i="1"/>
  <c r="O19" i="1" s="1"/>
  <c r="N8" i="1"/>
  <c r="N19" i="1" s="1"/>
  <c r="M8" i="1"/>
  <c r="AR29" i="3" s="1"/>
  <c r="AU29" i="3" s="1"/>
  <c r="L8" i="1"/>
  <c r="AR34" i="3" s="1"/>
  <c r="AU34" i="3" s="1"/>
  <c r="K8" i="1"/>
  <c r="AR31" i="3" s="1"/>
  <c r="AU31" i="3" s="1"/>
  <c r="J8" i="1"/>
  <c r="AR32" i="3" s="1"/>
  <c r="AU32" i="3" s="1"/>
  <c r="I8" i="1"/>
  <c r="AR33" i="3" s="1"/>
  <c r="AU33" i="3" s="1"/>
  <c r="H8" i="1"/>
  <c r="AR41" i="3" s="1"/>
  <c r="G8" i="1"/>
  <c r="AR36" i="3" s="1"/>
  <c r="AU36" i="3" s="1"/>
  <c r="F8" i="1"/>
  <c r="F19" i="1" s="1"/>
  <c r="E8" i="1"/>
  <c r="AR38" i="3" s="1"/>
  <c r="AU38" i="3" s="1"/>
  <c r="D7" i="3" s="1"/>
  <c r="D8" i="1"/>
  <c r="D19" i="1" s="1"/>
  <c r="C8" i="1"/>
  <c r="C19" i="1" s="1"/>
  <c r="B8" i="1"/>
  <c r="AF86" i="3" l="1"/>
  <c r="AF64" i="3"/>
  <c r="C39" i="5"/>
  <c r="C50" i="5"/>
  <c r="U49" i="5" s="1"/>
  <c r="C48" i="5"/>
  <c r="R44" i="5" s="1"/>
  <c r="C40" i="5"/>
  <c r="C43" i="5"/>
  <c r="C42" i="5"/>
  <c r="AF79" i="3"/>
  <c r="AF74" i="3"/>
  <c r="AF59" i="3"/>
  <c r="AF69" i="3"/>
  <c r="B69" i="3" s="1"/>
  <c r="AF63" i="3"/>
  <c r="B64" i="3" s="1"/>
  <c r="AF78" i="3"/>
  <c r="AI78" i="3" s="1"/>
  <c r="AF76" i="3"/>
  <c r="AF68" i="3"/>
  <c r="B68" i="3" s="1"/>
  <c r="C54" i="5"/>
  <c r="C65" i="5"/>
  <c r="N64" i="5" s="1"/>
  <c r="P64" i="5" s="1"/>
  <c r="C63" i="5"/>
  <c r="F59" i="5" s="1"/>
  <c r="C58" i="5"/>
  <c r="C57" i="5"/>
  <c r="C55" i="5"/>
  <c r="AF67" i="3"/>
  <c r="AI67" i="3" s="1"/>
  <c r="AF85" i="3"/>
  <c r="AI85" i="3" s="1"/>
  <c r="AF77" i="3"/>
  <c r="AF66" i="3"/>
  <c r="B66" i="3" s="1"/>
  <c r="AF71" i="3"/>
  <c r="B71" i="3" s="1"/>
  <c r="AF61" i="3"/>
  <c r="AF70" i="3"/>
  <c r="AI70" i="3" s="1"/>
  <c r="AF62" i="3"/>
  <c r="AI62" i="3" s="1"/>
  <c r="AF81" i="3"/>
  <c r="B81" i="3" s="1"/>
  <c r="AF46" i="3"/>
  <c r="B46" i="3" s="1"/>
  <c r="AF44" i="3"/>
  <c r="B44" i="3" s="1"/>
  <c r="AF49" i="3"/>
  <c r="B49" i="3" s="1"/>
  <c r="AF52" i="3"/>
  <c r="B52" i="3" s="1"/>
  <c r="AF53" i="3"/>
  <c r="B53" i="3" s="1"/>
  <c r="C25" i="5"/>
  <c r="C28" i="5"/>
  <c r="C33" i="5"/>
  <c r="N29" i="5" s="1"/>
  <c r="P29" i="5" s="1"/>
  <c r="C35" i="5"/>
  <c r="N34" i="5" s="1"/>
  <c r="P34" i="5" s="1"/>
  <c r="C24" i="5"/>
  <c r="C27" i="5"/>
  <c r="AF55" i="3"/>
  <c r="B55" i="3" s="1"/>
  <c r="AF54" i="3"/>
  <c r="B54" i="3" s="1"/>
  <c r="E20" i="5"/>
  <c r="E9" i="5"/>
  <c r="E13" i="5"/>
  <c r="E11" i="5"/>
  <c r="E71" i="5" s="1"/>
  <c r="E10" i="5"/>
  <c r="E18" i="5"/>
  <c r="C18" i="5" s="1"/>
  <c r="E12" i="5"/>
  <c r="D41" i="3"/>
  <c r="U64" i="5"/>
  <c r="D8" i="7"/>
  <c r="F7" i="7"/>
  <c r="D10" i="7"/>
  <c r="I10" i="7" s="1"/>
  <c r="H7" i="7"/>
  <c r="I7" i="7" s="1"/>
  <c r="D5" i="7"/>
  <c r="D6" i="7"/>
  <c r="AF40" i="3"/>
  <c r="B40" i="3" s="1"/>
  <c r="B68" i="1"/>
  <c r="AR40" i="3"/>
  <c r="AU40" i="3" s="1"/>
  <c r="N40" i="3" s="1"/>
  <c r="K19" i="1"/>
  <c r="AF83" i="3"/>
  <c r="AI83" i="3" s="1"/>
  <c r="AF56" i="3"/>
  <c r="B56" i="3" s="1"/>
  <c r="AF51" i="3"/>
  <c r="B51" i="3" s="1"/>
  <c r="AF39" i="3"/>
  <c r="B39" i="3" s="1"/>
  <c r="AF37" i="3"/>
  <c r="B37" i="3" s="1"/>
  <c r="AR39" i="3"/>
  <c r="AU39" i="3" s="1"/>
  <c r="C7" i="3" s="1"/>
  <c r="N36" i="3"/>
  <c r="Q36" i="3"/>
  <c r="Q96" i="3" s="1"/>
  <c r="Z36" i="3"/>
  <c r="Z96" i="3" s="1"/>
  <c r="W36" i="3"/>
  <c r="E19" i="1"/>
  <c r="AF47" i="3"/>
  <c r="B47" i="3" s="1"/>
  <c r="N33" i="3"/>
  <c r="Q33" i="3"/>
  <c r="Q93" i="3" s="1"/>
  <c r="W33" i="3"/>
  <c r="Z33" i="3"/>
  <c r="Z93" i="3" s="1"/>
  <c r="G19" i="1"/>
  <c r="AR37" i="3"/>
  <c r="AU37" i="3" s="1"/>
  <c r="E7" i="3" s="1"/>
  <c r="N32" i="3"/>
  <c r="Q32" i="3"/>
  <c r="Q92" i="3" s="1"/>
  <c r="Z32" i="3"/>
  <c r="Z92" i="3" s="1"/>
  <c r="W32" i="3"/>
  <c r="H19" i="1"/>
  <c r="AF48" i="3"/>
  <c r="B48" i="3" s="1"/>
  <c r="N31" i="3"/>
  <c r="W31" i="3"/>
  <c r="Q31" i="3"/>
  <c r="Z31" i="3"/>
  <c r="I19" i="1"/>
  <c r="N34" i="3"/>
  <c r="Q34" i="3"/>
  <c r="Q94" i="3" s="1"/>
  <c r="Z34" i="3"/>
  <c r="Z94" i="3" s="1"/>
  <c r="W34" i="3"/>
  <c r="J19" i="1"/>
  <c r="L19" i="1"/>
  <c r="AF82" i="3"/>
  <c r="B82" i="3" s="1"/>
  <c r="Q29" i="3"/>
  <c r="Q89" i="3" s="1"/>
  <c r="N29" i="3"/>
  <c r="W29" i="3"/>
  <c r="Z29" i="3"/>
  <c r="Z89" i="3" s="1"/>
  <c r="M19" i="1"/>
  <c r="B85" i="3"/>
  <c r="AF84" i="3"/>
  <c r="AI84" i="3" s="1"/>
  <c r="N41" i="3"/>
  <c r="Q41" i="3"/>
  <c r="Q101" i="3" s="1"/>
  <c r="W41" i="3"/>
  <c r="Z41" i="3"/>
  <c r="Z101" i="3" s="1"/>
  <c r="Q38" i="3"/>
  <c r="Q98" i="3" s="1"/>
  <c r="N38" i="3"/>
  <c r="W38" i="3"/>
  <c r="Z38" i="3"/>
  <c r="Z98" i="3" s="1"/>
  <c r="W11" i="5"/>
  <c r="W18" i="5"/>
  <c r="W20" i="5"/>
  <c r="W15" i="5"/>
  <c r="W10" i="5"/>
  <c r="T12" i="5"/>
  <c r="S12" i="5"/>
  <c r="W12" i="5"/>
  <c r="T18" i="5"/>
  <c r="S18" i="5"/>
  <c r="T13" i="5"/>
  <c r="S13" i="5"/>
  <c r="T20" i="5"/>
  <c r="S20" i="5"/>
  <c r="AA51" i="3"/>
  <c r="AA49" i="3"/>
  <c r="AA52" i="3"/>
  <c r="S9" i="5"/>
  <c r="T9" i="5"/>
  <c r="W13" i="5"/>
  <c r="S21" i="5"/>
  <c r="F10" i="5"/>
  <c r="F40" i="5" s="1"/>
  <c r="F55" i="5" s="1"/>
  <c r="W9" i="5"/>
  <c r="W21" i="5"/>
  <c r="F11" i="5"/>
  <c r="F41" i="5" s="1"/>
  <c r="F56" i="5" s="1"/>
  <c r="T10" i="5"/>
  <c r="S10" i="5"/>
  <c r="S15" i="5"/>
  <c r="AA44" i="3"/>
  <c r="AA53" i="3"/>
  <c r="F12" i="5"/>
  <c r="F42" i="5" s="1"/>
  <c r="F57" i="5" s="1"/>
  <c r="AA46" i="3"/>
  <c r="AA54" i="3"/>
  <c r="F13" i="5"/>
  <c r="F43" i="5" s="1"/>
  <c r="F58" i="5" s="1"/>
  <c r="S11" i="5"/>
  <c r="S16" i="5"/>
  <c r="AA47" i="3"/>
  <c r="AA55" i="3"/>
  <c r="W16" i="5"/>
  <c r="AA48" i="3"/>
  <c r="S17" i="5"/>
  <c r="N8" i="5"/>
  <c r="L8" i="5"/>
  <c r="L19" i="5"/>
  <c r="H59" i="5"/>
  <c r="V9" i="5"/>
  <c r="V69" i="5" s="1"/>
  <c r="U9" i="5"/>
  <c r="U69" i="5" s="1"/>
  <c r="H39" i="5"/>
  <c r="H54" i="5" s="1"/>
  <c r="X9" i="5"/>
  <c r="M14" i="5"/>
  <c r="L14" i="5"/>
  <c r="N14" i="5"/>
  <c r="C39" i="3"/>
  <c r="C44" i="3"/>
  <c r="C46" i="3"/>
  <c r="C48" i="3"/>
  <c r="C52" i="3"/>
  <c r="C47" i="3"/>
  <c r="C53" i="3"/>
  <c r="G51" i="3"/>
  <c r="G54" i="3"/>
  <c r="G55" i="3"/>
  <c r="G49" i="3"/>
  <c r="G44" i="3"/>
  <c r="G52" i="3"/>
  <c r="G46" i="3"/>
  <c r="C49" i="3"/>
  <c r="G47" i="3"/>
  <c r="C55" i="3"/>
  <c r="G53" i="3"/>
  <c r="G48" i="3"/>
  <c r="C51" i="3"/>
  <c r="U71" i="5"/>
  <c r="H20" i="11"/>
  <c r="G43" i="5"/>
  <c r="G58" i="5" s="1"/>
  <c r="H25" i="11"/>
  <c r="H43" i="5"/>
  <c r="H58" i="5" s="1"/>
  <c r="H47" i="11"/>
  <c r="U73" i="5"/>
  <c r="F75" i="5"/>
  <c r="F35" i="5"/>
  <c r="J39" i="5"/>
  <c r="R65" i="5"/>
  <c r="R64" i="5" s="1"/>
  <c r="G39" i="5"/>
  <c r="G54" i="5" s="1"/>
  <c r="G63" i="5"/>
  <c r="G59" i="5" s="1"/>
  <c r="R24" i="5"/>
  <c r="R39" i="5" s="1"/>
  <c r="J72" i="5"/>
  <c r="H73" i="5"/>
  <c r="F78" i="5"/>
  <c r="R70" i="5"/>
  <c r="J73" i="5"/>
  <c r="H36" i="11"/>
  <c r="R71" i="5"/>
  <c r="G42" i="5"/>
  <c r="G57" i="5" s="1"/>
  <c r="R72" i="5"/>
  <c r="U72" i="5"/>
  <c r="H42" i="5"/>
  <c r="H57" i="5" s="1"/>
  <c r="R28" i="5"/>
  <c r="R43" i="5" s="1"/>
  <c r="R58" i="5" s="1"/>
  <c r="G50" i="5"/>
  <c r="R73" i="5"/>
  <c r="G40" i="5"/>
  <c r="G55" i="5" s="1"/>
  <c r="H50" i="5"/>
  <c r="F69" i="5"/>
  <c r="H40" i="5"/>
  <c r="H55" i="5" s="1"/>
  <c r="J50" i="5"/>
  <c r="G69" i="5"/>
  <c r="J25" i="5"/>
  <c r="J40" i="5" s="1"/>
  <c r="J55" i="5" s="1"/>
  <c r="H69" i="5"/>
  <c r="J69" i="5"/>
  <c r="F73" i="5"/>
  <c r="AI46" i="3"/>
  <c r="AI69" i="3"/>
  <c r="B86" i="3"/>
  <c r="N20" i="3"/>
  <c r="Q11" i="3"/>
  <c r="Q10" i="3"/>
  <c r="Q21" i="3"/>
  <c r="N14" i="3"/>
  <c r="Q20" i="3"/>
  <c r="AI68" i="3"/>
  <c r="Q15" i="3"/>
  <c r="Q13" i="3" s="1"/>
  <c r="N10" i="3"/>
  <c r="Q9" i="3"/>
  <c r="E6" i="3"/>
  <c r="B6" i="3"/>
  <c r="R6" i="3"/>
  <c r="C6" i="3"/>
  <c r="D6" i="3"/>
  <c r="R7" i="3"/>
  <c r="Q19" i="3"/>
  <c r="Q12" i="3"/>
  <c r="Q8" i="3"/>
  <c r="N9" i="3"/>
  <c r="N15" i="3"/>
  <c r="N19" i="3"/>
  <c r="N18" i="3" s="1"/>
  <c r="N11" i="3"/>
  <c r="N21" i="3"/>
  <c r="N8" i="3"/>
  <c r="N12" i="3"/>
  <c r="N16" i="3"/>
  <c r="AI44" i="3"/>
  <c r="W14" i="5" l="1"/>
  <c r="X14" i="5"/>
  <c r="C78" i="5"/>
  <c r="O14" i="5"/>
  <c r="C9" i="5"/>
  <c r="V8" i="5"/>
  <c r="M8" i="5"/>
  <c r="T8" i="5"/>
  <c r="T7" i="5" s="1"/>
  <c r="O8" i="5"/>
  <c r="O19" i="5"/>
  <c r="T19" i="5"/>
  <c r="V19" i="5"/>
  <c r="N59" i="5"/>
  <c r="P59" i="5" s="1"/>
  <c r="U59" i="5"/>
  <c r="U74" i="5"/>
  <c r="V14" i="5"/>
  <c r="T14" i="5"/>
  <c r="J7" i="7"/>
  <c r="B29" i="11" s="1"/>
  <c r="B35" i="11" s="1"/>
  <c r="L7" i="7"/>
  <c r="J10" i="7"/>
  <c r="B51" i="11" s="1"/>
  <c r="B57" i="11" s="1"/>
  <c r="L10" i="7"/>
  <c r="F44" i="5"/>
  <c r="J59" i="5"/>
  <c r="K59" i="5" s="1"/>
  <c r="R59" i="5"/>
  <c r="N39" i="3"/>
  <c r="AF31" i="3"/>
  <c r="J44" i="5"/>
  <c r="K44" i="5" s="1"/>
  <c r="H44" i="5"/>
  <c r="B70" i="3"/>
  <c r="N49" i="5"/>
  <c r="P49" i="5" s="1"/>
  <c r="R49" i="5"/>
  <c r="AI63" i="3"/>
  <c r="K63" i="3" s="1"/>
  <c r="AI66" i="3"/>
  <c r="T66" i="3" s="1"/>
  <c r="B79" i="3"/>
  <c r="N44" i="5"/>
  <c r="Y44" i="5" s="1"/>
  <c r="N53" i="5"/>
  <c r="P53" i="5" s="1"/>
  <c r="U38" i="5"/>
  <c r="B63" i="3"/>
  <c r="U44" i="5"/>
  <c r="AI81" i="3"/>
  <c r="N81" i="3" s="1"/>
  <c r="G44" i="5"/>
  <c r="B77" i="3"/>
  <c r="AI76" i="3"/>
  <c r="B76" i="3"/>
  <c r="AI79" i="3"/>
  <c r="N38" i="5"/>
  <c r="R38" i="5"/>
  <c r="Y59" i="5"/>
  <c r="AI49" i="3"/>
  <c r="T49" i="3" s="1"/>
  <c r="U53" i="5"/>
  <c r="U52" i="5" s="1"/>
  <c r="B59" i="3"/>
  <c r="AI59" i="3"/>
  <c r="AI52" i="3"/>
  <c r="K52" i="3" s="1"/>
  <c r="B67" i="3"/>
  <c r="B62" i="3"/>
  <c r="AI61" i="3"/>
  <c r="B78" i="3"/>
  <c r="AI77" i="3"/>
  <c r="B61" i="3"/>
  <c r="AI64" i="3"/>
  <c r="B74" i="3"/>
  <c r="AI74" i="3"/>
  <c r="C11" i="5"/>
  <c r="C71" i="5" s="1"/>
  <c r="AI40" i="3"/>
  <c r="H40" i="3" s="1"/>
  <c r="AF89" i="3"/>
  <c r="B89" i="3" s="1"/>
  <c r="Q40" i="3"/>
  <c r="Q100" i="3" s="1"/>
  <c r="AF94" i="3"/>
  <c r="AI94" i="3" s="1"/>
  <c r="AI53" i="3"/>
  <c r="K53" i="3" s="1"/>
  <c r="C13" i="5"/>
  <c r="C73" i="5" s="1"/>
  <c r="W39" i="3"/>
  <c r="W40" i="3"/>
  <c r="AI55" i="3"/>
  <c r="K55" i="3" s="1"/>
  <c r="C10" i="5"/>
  <c r="C70" i="5" s="1"/>
  <c r="AF99" i="3"/>
  <c r="B99" i="3" s="1"/>
  <c r="R29" i="5"/>
  <c r="K23" i="5"/>
  <c r="AF93" i="3"/>
  <c r="G29" i="5"/>
  <c r="F29" i="5"/>
  <c r="Y29" i="5" s="1"/>
  <c r="J34" i="5"/>
  <c r="K34" i="5" s="1"/>
  <c r="AF97" i="3"/>
  <c r="AI97" i="3" s="1"/>
  <c r="N23" i="5"/>
  <c r="N22" i="5" s="1"/>
  <c r="J29" i="5"/>
  <c r="K29" i="5" s="1"/>
  <c r="G34" i="5"/>
  <c r="AI54" i="3"/>
  <c r="N54" i="3" s="1"/>
  <c r="F34" i="5"/>
  <c r="Y34" i="5" s="1"/>
  <c r="H29" i="5"/>
  <c r="H34" i="5"/>
  <c r="R34" i="5"/>
  <c r="AI82" i="3"/>
  <c r="N82" i="3" s="1"/>
  <c r="AI48" i="3"/>
  <c r="N48" i="3" s="1"/>
  <c r="C20" i="5"/>
  <c r="U79" i="5"/>
  <c r="M19" i="5"/>
  <c r="P19" i="5" s="1"/>
  <c r="AF41" i="3"/>
  <c r="B41" i="3" s="1"/>
  <c r="C12" i="5"/>
  <c r="C72" i="5" s="1"/>
  <c r="H55" i="11"/>
  <c r="F10" i="7"/>
  <c r="D9" i="7"/>
  <c r="C9" i="7" s="1"/>
  <c r="I8" i="7"/>
  <c r="F8" i="7"/>
  <c r="I5" i="7"/>
  <c r="F5" i="7"/>
  <c r="F6" i="7"/>
  <c r="I6" i="7"/>
  <c r="AI51" i="3"/>
  <c r="H51" i="3" s="1"/>
  <c r="Z39" i="3"/>
  <c r="Z99" i="3" s="1"/>
  <c r="R5" i="3"/>
  <c r="T11" i="3" s="1"/>
  <c r="W37" i="3"/>
  <c r="AI39" i="3"/>
  <c r="T39" i="3" s="1"/>
  <c r="B7" i="3"/>
  <c r="G20" i="3" s="1"/>
  <c r="B83" i="3"/>
  <c r="Z40" i="3"/>
  <c r="Z100" i="3" s="1"/>
  <c r="D56" i="3"/>
  <c r="Q37" i="3"/>
  <c r="AI47" i="3"/>
  <c r="K47" i="3" s="1"/>
  <c r="Q39" i="3"/>
  <c r="Q99" i="3" s="1"/>
  <c r="N37" i="3"/>
  <c r="AI37" i="3"/>
  <c r="K37" i="3" s="1"/>
  <c r="N63" i="3"/>
  <c r="AF29" i="3"/>
  <c r="AF33" i="3"/>
  <c r="K46" i="3"/>
  <c r="T46" i="3"/>
  <c r="N46" i="3"/>
  <c r="W46" i="3"/>
  <c r="AF38" i="3"/>
  <c r="Z30" i="3"/>
  <c r="Z90" i="3" s="1"/>
  <c r="Z91" i="3"/>
  <c r="AF36" i="3"/>
  <c r="K69" i="3"/>
  <c r="T69" i="3"/>
  <c r="W69" i="3"/>
  <c r="N69" i="3"/>
  <c r="T71" i="3"/>
  <c r="AC71" i="3"/>
  <c r="K71" i="3"/>
  <c r="H71" i="3"/>
  <c r="D71" i="3"/>
  <c r="N71" i="3"/>
  <c r="Q91" i="3"/>
  <c r="Q30" i="3"/>
  <c r="Q90" i="3" s="1"/>
  <c r="K49" i="3"/>
  <c r="N49" i="3"/>
  <c r="W49" i="3"/>
  <c r="B31" i="3"/>
  <c r="AI31" i="3"/>
  <c r="T44" i="3"/>
  <c r="K44" i="3"/>
  <c r="W44" i="3"/>
  <c r="N44" i="3"/>
  <c r="W30" i="3"/>
  <c r="T70" i="3"/>
  <c r="K70" i="3"/>
  <c r="N70" i="3"/>
  <c r="W70" i="3"/>
  <c r="T41" i="3"/>
  <c r="AC41" i="3"/>
  <c r="K67" i="3"/>
  <c r="T67" i="3"/>
  <c r="N67" i="3"/>
  <c r="W67" i="3"/>
  <c r="K62" i="3"/>
  <c r="T62" i="3"/>
  <c r="W62" i="3"/>
  <c r="N62" i="3"/>
  <c r="N30" i="3"/>
  <c r="AF34" i="3"/>
  <c r="T68" i="3"/>
  <c r="K68" i="3"/>
  <c r="N68" i="3"/>
  <c r="W68" i="3"/>
  <c r="Z37" i="3"/>
  <c r="Z97" i="3" s="1"/>
  <c r="AF32" i="3"/>
  <c r="K84" i="3"/>
  <c r="T84" i="3"/>
  <c r="N84" i="3"/>
  <c r="W84" i="3"/>
  <c r="C68" i="1"/>
  <c r="K83" i="3"/>
  <c r="T83" i="3"/>
  <c r="N83" i="3"/>
  <c r="W83" i="3"/>
  <c r="K78" i="3"/>
  <c r="T78" i="3"/>
  <c r="N78" i="3"/>
  <c r="W78" i="3"/>
  <c r="K85" i="3"/>
  <c r="T85" i="3"/>
  <c r="N85" i="3"/>
  <c r="W85" i="3"/>
  <c r="B84" i="3"/>
  <c r="K86" i="3"/>
  <c r="T86" i="3"/>
  <c r="AC86" i="3"/>
  <c r="N86" i="3"/>
  <c r="H86" i="3"/>
  <c r="D86" i="3"/>
  <c r="W86" i="3"/>
  <c r="K81" i="3"/>
  <c r="T81" i="3"/>
  <c r="H42" i="11"/>
  <c r="AA62" i="3"/>
  <c r="F72" i="5"/>
  <c r="AA66" i="3"/>
  <c r="C54" i="3"/>
  <c r="C69" i="3" s="1"/>
  <c r="AC53" i="3"/>
  <c r="AA68" i="3"/>
  <c r="F70" i="5"/>
  <c r="AC44" i="3"/>
  <c r="AA59" i="3"/>
  <c r="H60" i="11"/>
  <c r="AA63" i="3"/>
  <c r="AA69" i="3"/>
  <c r="AA67" i="3"/>
  <c r="AA64" i="3"/>
  <c r="AC49" i="3"/>
  <c r="AA70" i="3"/>
  <c r="AA61" i="3"/>
  <c r="AC46" i="3"/>
  <c r="F71" i="5"/>
  <c r="P14" i="5"/>
  <c r="C5" i="12" s="1"/>
  <c r="H14" i="5"/>
  <c r="G14" i="5"/>
  <c r="R14" i="5"/>
  <c r="Q14" i="5"/>
  <c r="J14" i="5"/>
  <c r="K14" i="5"/>
  <c r="I14" i="5"/>
  <c r="L7" i="5"/>
  <c r="N7" i="5"/>
  <c r="F53" i="5"/>
  <c r="G64" i="3"/>
  <c r="C63" i="3"/>
  <c r="G62" i="3"/>
  <c r="C64" i="3"/>
  <c r="D49" i="3"/>
  <c r="G61" i="3"/>
  <c r="H46" i="3"/>
  <c r="G66" i="3"/>
  <c r="D46" i="3"/>
  <c r="C61" i="3"/>
  <c r="C66" i="3"/>
  <c r="G69" i="3"/>
  <c r="G59" i="3"/>
  <c r="H44" i="3"/>
  <c r="C62" i="3"/>
  <c r="G67" i="3"/>
  <c r="G68" i="3"/>
  <c r="D44" i="3"/>
  <c r="C59" i="3"/>
  <c r="G70" i="3"/>
  <c r="G63" i="3"/>
  <c r="C68" i="3"/>
  <c r="C70" i="3"/>
  <c r="C67" i="3"/>
  <c r="H53" i="5"/>
  <c r="G23" i="5"/>
  <c r="G53" i="5"/>
  <c r="F38" i="5"/>
  <c r="F50" i="5"/>
  <c r="F49" i="5" s="1"/>
  <c r="H31" i="11"/>
  <c r="G38" i="5"/>
  <c r="U70" i="5"/>
  <c r="R54" i="5"/>
  <c r="R53" i="5" s="1"/>
  <c r="R52" i="5" s="1"/>
  <c r="H49" i="5"/>
  <c r="H65" i="5"/>
  <c r="H64" i="5" s="1"/>
  <c r="R23" i="5"/>
  <c r="H23" i="5"/>
  <c r="F23" i="5"/>
  <c r="H26" i="11"/>
  <c r="J23" i="5"/>
  <c r="H21" i="11"/>
  <c r="G49" i="5"/>
  <c r="G65" i="5"/>
  <c r="G64" i="5" s="1"/>
  <c r="J49" i="5"/>
  <c r="K49" i="5" s="1"/>
  <c r="J65" i="5"/>
  <c r="J64" i="5" s="1"/>
  <c r="K64" i="5" s="1"/>
  <c r="H38" i="5"/>
  <c r="J54" i="5"/>
  <c r="J53" i="5" s="1"/>
  <c r="J38" i="5"/>
  <c r="N17" i="3"/>
  <c r="Q18" i="3"/>
  <c r="Q17" i="3" s="1"/>
  <c r="G19" i="3"/>
  <c r="N13" i="3"/>
  <c r="G14" i="3"/>
  <c r="T14" i="3"/>
  <c r="T19" i="3"/>
  <c r="T21" i="3"/>
  <c r="T8" i="3"/>
  <c r="T16" i="3"/>
  <c r="T20" i="3"/>
  <c r="T15" i="3"/>
  <c r="D55" i="3" l="1"/>
  <c r="AC55" i="3"/>
  <c r="W19" i="5"/>
  <c r="Q19" i="5"/>
  <c r="C80" i="5"/>
  <c r="R19" i="5"/>
  <c r="X19" i="5"/>
  <c r="W55" i="3"/>
  <c r="V7" i="5"/>
  <c r="N55" i="3"/>
  <c r="C69" i="5"/>
  <c r="W8" i="5"/>
  <c r="W7" i="5" s="1"/>
  <c r="X8" i="5"/>
  <c r="L6" i="10"/>
  <c r="L11" i="10" s="1"/>
  <c r="J5" i="7"/>
  <c r="L5" i="7"/>
  <c r="T82" i="3"/>
  <c r="H74" i="5"/>
  <c r="K74" i="5"/>
  <c r="G74" i="5"/>
  <c r="J74" i="5"/>
  <c r="N74" i="5"/>
  <c r="O74" i="5"/>
  <c r="H55" i="3"/>
  <c r="X59" i="5"/>
  <c r="K10" i="7"/>
  <c r="L8" i="7"/>
  <c r="J8" i="7"/>
  <c r="B40" i="11" s="1"/>
  <c r="B46" i="11" s="1"/>
  <c r="J6" i="7"/>
  <c r="B18" i="11" s="1"/>
  <c r="B24" i="11" s="1"/>
  <c r="L6" i="7"/>
  <c r="K7" i="7"/>
  <c r="D11" i="11"/>
  <c r="H11" i="11" s="1"/>
  <c r="D7" i="10"/>
  <c r="D16" i="11"/>
  <c r="H16" i="11" s="1"/>
  <c r="D11" i="10"/>
  <c r="I9" i="7"/>
  <c r="F9" i="7"/>
  <c r="N35" i="3"/>
  <c r="X44" i="5"/>
  <c r="B5" i="3"/>
  <c r="X29" i="5"/>
  <c r="R8" i="5"/>
  <c r="R7" i="5" s="1"/>
  <c r="D52" i="3"/>
  <c r="T40" i="3"/>
  <c r="W81" i="3"/>
  <c r="T54" i="3"/>
  <c r="Y49" i="5"/>
  <c r="T52" i="3"/>
  <c r="W63" i="3"/>
  <c r="T63" i="3"/>
  <c r="P23" i="5"/>
  <c r="P22" i="5" s="1"/>
  <c r="U68" i="5"/>
  <c r="U67" i="5" s="1"/>
  <c r="D53" i="3"/>
  <c r="D51" i="3"/>
  <c r="H49" i="3"/>
  <c r="N52" i="3"/>
  <c r="R37" i="5"/>
  <c r="G8" i="5"/>
  <c r="N37" i="5"/>
  <c r="T55" i="3"/>
  <c r="K82" i="3"/>
  <c r="K80" i="3" s="1"/>
  <c r="N52" i="5"/>
  <c r="P52" i="5" s="1"/>
  <c r="W82" i="3"/>
  <c r="W66" i="3"/>
  <c r="AI89" i="3"/>
  <c r="U37" i="5"/>
  <c r="K66" i="3"/>
  <c r="B97" i="3"/>
  <c r="N66" i="3"/>
  <c r="N65" i="3" s="1"/>
  <c r="B91" i="3"/>
  <c r="K40" i="3"/>
  <c r="K100" i="3" s="1"/>
  <c r="W35" i="3"/>
  <c r="W28" i="3" s="1"/>
  <c r="D40" i="3"/>
  <c r="P38" i="5"/>
  <c r="P37" i="5" s="1"/>
  <c r="Q8" i="5"/>
  <c r="Q7" i="5" s="1"/>
  <c r="AC40" i="3"/>
  <c r="K64" i="3"/>
  <c r="N64" i="3"/>
  <c r="N94" i="3" s="1"/>
  <c r="T64" i="3"/>
  <c r="W64" i="3"/>
  <c r="O7" i="5"/>
  <c r="H19" i="5"/>
  <c r="I19" i="5"/>
  <c r="J22" i="5"/>
  <c r="U34" i="5"/>
  <c r="K79" i="3"/>
  <c r="N79" i="3"/>
  <c r="T79" i="3"/>
  <c r="W79" i="3"/>
  <c r="F19" i="5"/>
  <c r="W53" i="3"/>
  <c r="W51" i="3"/>
  <c r="H8" i="5"/>
  <c r="T59" i="3"/>
  <c r="K59" i="3"/>
  <c r="N59" i="3"/>
  <c r="W59" i="3"/>
  <c r="J19" i="5"/>
  <c r="N53" i="3"/>
  <c r="N98" i="3" s="1"/>
  <c r="K76" i="3"/>
  <c r="T76" i="3"/>
  <c r="W76" i="3"/>
  <c r="N76" i="3"/>
  <c r="K19" i="5"/>
  <c r="H53" i="3"/>
  <c r="T53" i="3"/>
  <c r="K54" i="3"/>
  <c r="T74" i="3"/>
  <c r="K74" i="3"/>
  <c r="N74" i="3"/>
  <c r="W74" i="3"/>
  <c r="G19" i="5"/>
  <c r="W52" i="3"/>
  <c r="K22" i="5"/>
  <c r="K77" i="3"/>
  <c r="T77" i="3"/>
  <c r="W77" i="3"/>
  <c r="N77" i="3"/>
  <c r="H52" i="3"/>
  <c r="AC52" i="3"/>
  <c r="U29" i="5"/>
  <c r="K61" i="3"/>
  <c r="K60" i="3" s="1"/>
  <c r="W61" i="3"/>
  <c r="T61" i="3"/>
  <c r="N61" i="3"/>
  <c r="AF91" i="3"/>
  <c r="B92" i="3" s="1"/>
  <c r="AF92" i="3"/>
  <c r="AI92" i="3" s="1"/>
  <c r="AI99" i="3"/>
  <c r="X34" i="5"/>
  <c r="R74" i="5"/>
  <c r="F74" i="5"/>
  <c r="W48" i="3"/>
  <c r="W93" i="3" s="1"/>
  <c r="AF98" i="3"/>
  <c r="AI98" i="3" s="1"/>
  <c r="AC54" i="3"/>
  <c r="K48" i="3"/>
  <c r="K45" i="3" s="1"/>
  <c r="D48" i="3"/>
  <c r="AC48" i="3"/>
  <c r="T48" i="3"/>
  <c r="N51" i="3"/>
  <c r="H48" i="3"/>
  <c r="AF100" i="3"/>
  <c r="B100" i="3" s="1"/>
  <c r="AC51" i="3"/>
  <c r="K51" i="3"/>
  <c r="T51" i="3"/>
  <c r="R22" i="5"/>
  <c r="W54" i="3"/>
  <c r="AF101" i="3"/>
  <c r="B101" i="3" s="1"/>
  <c r="H54" i="3"/>
  <c r="AF96" i="3"/>
  <c r="B96" i="3" s="1"/>
  <c r="B94" i="3"/>
  <c r="AI93" i="3"/>
  <c r="G37" i="5"/>
  <c r="D47" i="3"/>
  <c r="I8" i="5"/>
  <c r="C5" i="3"/>
  <c r="J8" i="5"/>
  <c r="P8" i="5"/>
  <c r="C4" i="12" s="1"/>
  <c r="C6" i="12"/>
  <c r="G15" i="3"/>
  <c r="U15" i="3" s="1"/>
  <c r="H39" i="3"/>
  <c r="T10" i="3"/>
  <c r="T9" i="3"/>
  <c r="T12" i="3"/>
  <c r="X64" i="5"/>
  <c r="J52" i="5"/>
  <c r="K52" i="5" s="1"/>
  <c r="K53" i="5"/>
  <c r="H52" i="5"/>
  <c r="X53" i="5"/>
  <c r="Y53" i="5"/>
  <c r="G52" i="5"/>
  <c r="H37" i="5"/>
  <c r="X38" i="5"/>
  <c r="F37" i="5"/>
  <c r="Y38" i="5"/>
  <c r="Y37" i="5" s="1"/>
  <c r="X49" i="5"/>
  <c r="J37" i="5"/>
  <c r="K38" i="5"/>
  <c r="K37" i="5" s="1"/>
  <c r="U23" i="5"/>
  <c r="G22" i="5"/>
  <c r="F22" i="5"/>
  <c r="Y23" i="5"/>
  <c r="Y22" i="5" s="1"/>
  <c r="X23" i="5"/>
  <c r="H22" i="5"/>
  <c r="H41" i="3"/>
  <c r="H101" i="3" s="1"/>
  <c r="T37" i="3"/>
  <c r="G18" i="3"/>
  <c r="K41" i="3"/>
  <c r="D39" i="3"/>
  <c r="Q35" i="3"/>
  <c r="Q95" i="3" s="1"/>
  <c r="AC39" i="3"/>
  <c r="AC56" i="3"/>
  <c r="AC101" i="3" s="1"/>
  <c r="K56" i="3"/>
  <c r="K101" i="3" s="1"/>
  <c r="Q97" i="3"/>
  <c r="N56" i="3"/>
  <c r="N101" i="3" s="1"/>
  <c r="E5" i="3"/>
  <c r="T56" i="3"/>
  <c r="T101" i="3" s="1"/>
  <c r="N99" i="3"/>
  <c r="AC47" i="3"/>
  <c r="N47" i="3"/>
  <c r="N45" i="3" s="1"/>
  <c r="W56" i="3"/>
  <c r="H56" i="3"/>
  <c r="H47" i="3"/>
  <c r="W47" i="3"/>
  <c r="T47" i="3"/>
  <c r="T45" i="3" s="1"/>
  <c r="AC37" i="3"/>
  <c r="H37" i="3"/>
  <c r="D37" i="3"/>
  <c r="Z35" i="3"/>
  <c r="D101" i="3"/>
  <c r="T99" i="3"/>
  <c r="T65" i="3"/>
  <c r="B36" i="3"/>
  <c r="AI36" i="3"/>
  <c r="B29" i="3"/>
  <c r="AI29" i="3"/>
  <c r="B34" i="3"/>
  <c r="AI34" i="3"/>
  <c r="N97" i="3"/>
  <c r="W98" i="3"/>
  <c r="B33" i="3"/>
  <c r="AI33" i="3"/>
  <c r="K65" i="3"/>
  <c r="B32" i="3"/>
  <c r="AI32" i="3"/>
  <c r="B38" i="3"/>
  <c r="AI38" i="3"/>
  <c r="W100" i="3"/>
  <c r="W65" i="3"/>
  <c r="H34" i="11" s="1"/>
  <c r="N100" i="3"/>
  <c r="T31" i="3"/>
  <c r="K31" i="3"/>
  <c r="D31" i="3"/>
  <c r="H31" i="3"/>
  <c r="AC31" i="3"/>
  <c r="N80" i="3"/>
  <c r="T80" i="3"/>
  <c r="N93" i="3"/>
  <c r="W80" i="3"/>
  <c r="N28" i="3"/>
  <c r="AC70" i="3"/>
  <c r="AA85" i="3"/>
  <c r="AA78" i="3"/>
  <c r="AC63" i="3"/>
  <c r="AC66" i="3"/>
  <c r="AA81" i="3"/>
  <c r="AC61" i="3"/>
  <c r="AA76" i="3"/>
  <c r="AA79" i="3"/>
  <c r="AC64" i="3"/>
  <c r="AC59" i="3"/>
  <c r="AA74" i="3"/>
  <c r="AA82" i="3"/>
  <c r="AC67" i="3"/>
  <c r="D54" i="3"/>
  <c r="D50" i="3" s="1"/>
  <c r="AA83" i="3"/>
  <c r="AC68" i="3"/>
  <c r="AA77" i="3"/>
  <c r="AC62" i="3"/>
  <c r="AA84" i="3"/>
  <c r="AC69" i="3"/>
  <c r="V74" i="5"/>
  <c r="F14" i="5"/>
  <c r="V68" i="5"/>
  <c r="H53" i="11"/>
  <c r="X74" i="5"/>
  <c r="H54" i="11"/>
  <c r="F65" i="5"/>
  <c r="F64" i="5" s="1"/>
  <c r="Y64" i="5" s="1"/>
  <c r="H67" i="3"/>
  <c r="G82" i="3"/>
  <c r="G84" i="3"/>
  <c r="H69" i="3"/>
  <c r="G81" i="3"/>
  <c r="H66" i="3"/>
  <c r="G77" i="3"/>
  <c r="H62" i="3"/>
  <c r="C81" i="3"/>
  <c r="D66" i="3"/>
  <c r="H70" i="3"/>
  <c r="G85" i="3"/>
  <c r="C78" i="3"/>
  <c r="D63" i="3"/>
  <c r="C74" i="3"/>
  <c r="D59" i="3"/>
  <c r="H46" i="11"/>
  <c r="C82" i="3"/>
  <c r="D67" i="3"/>
  <c r="C77" i="3"/>
  <c r="D62" i="3"/>
  <c r="C83" i="3"/>
  <c r="D68" i="3"/>
  <c r="H64" i="3"/>
  <c r="G79" i="3"/>
  <c r="D61" i="3"/>
  <c r="C76" i="3"/>
  <c r="G78" i="3"/>
  <c r="H63" i="3"/>
  <c r="G76" i="3"/>
  <c r="H61" i="3"/>
  <c r="H59" i="3"/>
  <c r="G74" i="3"/>
  <c r="C84" i="3"/>
  <c r="D69" i="3"/>
  <c r="C79" i="3"/>
  <c r="D64" i="3"/>
  <c r="H68" i="3"/>
  <c r="G83" i="3"/>
  <c r="C85" i="3"/>
  <c r="D70" i="3"/>
  <c r="H35" i="11"/>
  <c r="H19" i="11"/>
  <c r="H24" i="11"/>
  <c r="H48" i="11"/>
  <c r="H37" i="11"/>
  <c r="F68" i="5"/>
  <c r="H43" i="11"/>
  <c r="H32" i="11"/>
  <c r="U19" i="3"/>
  <c r="T13" i="3"/>
  <c r="U14" i="3"/>
  <c r="T18" i="3"/>
  <c r="U20" i="3"/>
  <c r="P74" i="5" l="1"/>
  <c r="R68" i="5"/>
  <c r="N68" i="5"/>
  <c r="O68" i="5"/>
  <c r="K68" i="5"/>
  <c r="K67" i="5" s="1"/>
  <c r="G68" i="5"/>
  <c r="G67" i="5" s="1"/>
  <c r="J68" i="5"/>
  <c r="J67" i="5" s="1"/>
  <c r="H68" i="5"/>
  <c r="N96" i="3"/>
  <c r="Y74" i="5"/>
  <c r="D6" i="12"/>
  <c r="E6" i="12" s="1"/>
  <c r="Y19" i="5"/>
  <c r="J79" i="5"/>
  <c r="N79" i="5"/>
  <c r="K79" i="5"/>
  <c r="G79" i="5"/>
  <c r="H79" i="5"/>
  <c r="O79" i="5"/>
  <c r="P79" i="5" s="1"/>
  <c r="K5" i="7"/>
  <c r="B7" i="11"/>
  <c r="B13" i="11" s="1"/>
  <c r="F67" i="5"/>
  <c r="T100" i="3"/>
  <c r="X7" i="5"/>
  <c r="K6" i="7"/>
  <c r="K8" i="7"/>
  <c r="J9" i="7"/>
  <c r="L9" i="7"/>
  <c r="K9" i="7"/>
  <c r="D6" i="10"/>
  <c r="C7" i="10"/>
  <c r="W45" i="3"/>
  <c r="K97" i="3"/>
  <c r="T60" i="3"/>
  <c r="T58" i="3" s="1"/>
  <c r="G7" i="5"/>
  <c r="T50" i="3"/>
  <c r="T43" i="3" s="1"/>
  <c r="K50" i="3"/>
  <c r="T97" i="3"/>
  <c r="X68" i="5"/>
  <c r="AC50" i="3"/>
  <c r="H28" i="11" s="1"/>
  <c r="J7" i="5"/>
  <c r="W97" i="3"/>
  <c r="N75" i="3"/>
  <c r="N73" i="3" s="1"/>
  <c r="W96" i="3"/>
  <c r="W94" i="3"/>
  <c r="AC45" i="3"/>
  <c r="N50" i="3"/>
  <c r="N95" i="3" s="1"/>
  <c r="W91" i="3"/>
  <c r="F79" i="5"/>
  <c r="Y79" i="5" s="1"/>
  <c r="R79" i="5"/>
  <c r="AI100" i="3"/>
  <c r="B93" i="3"/>
  <c r="F8" i="5"/>
  <c r="D4" i="12" s="1"/>
  <c r="E4" i="12" s="1"/>
  <c r="N91" i="3"/>
  <c r="N60" i="3"/>
  <c r="N58" i="3" s="1"/>
  <c r="K8" i="5"/>
  <c r="K7" i="5" s="1"/>
  <c r="F11" i="10"/>
  <c r="K75" i="3"/>
  <c r="K73" i="3" s="1"/>
  <c r="H7" i="5"/>
  <c r="X22" i="5"/>
  <c r="H45" i="3"/>
  <c r="W89" i="3"/>
  <c r="W60" i="3"/>
  <c r="W75" i="3"/>
  <c r="W73" i="3" s="1"/>
  <c r="N89" i="3"/>
  <c r="W50" i="3"/>
  <c r="H23" i="11" s="1"/>
  <c r="T75" i="3"/>
  <c r="T73" i="3" s="1"/>
  <c r="V79" i="5"/>
  <c r="V67" i="5" s="1"/>
  <c r="X79" i="5"/>
  <c r="H50" i="3"/>
  <c r="K58" i="3"/>
  <c r="U22" i="5"/>
  <c r="H7" i="10"/>
  <c r="D45" i="3"/>
  <c r="D43" i="3" s="1"/>
  <c r="B98" i="3"/>
  <c r="I7" i="5"/>
  <c r="AI96" i="3"/>
  <c r="AI91" i="3"/>
  <c r="M7" i="5"/>
  <c r="W99" i="3"/>
  <c r="X52" i="5"/>
  <c r="G13" i="3"/>
  <c r="U13" i="3" s="1"/>
  <c r="Q28" i="3"/>
  <c r="Q88" i="3" s="1"/>
  <c r="Y52" i="5"/>
  <c r="F52" i="5"/>
  <c r="Y68" i="5"/>
  <c r="X37" i="5"/>
  <c r="H59" i="11"/>
  <c r="Y14" i="5"/>
  <c r="D5" i="12"/>
  <c r="E5" i="12" s="1"/>
  <c r="H52" i="11"/>
  <c r="G11" i="10"/>
  <c r="H58" i="11"/>
  <c r="H22" i="11"/>
  <c r="W101" i="3"/>
  <c r="N92" i="3"/>
  <c r="K43" i="3"/>
  <c r="Z28" i="3"/>
  <c r="Z88" i="3" s="1"/>
  <c r="W92" i="3"/>
  <c r="Z95" i="3"/>
  <c r="H56" i="11" s="1"/>
  <c r="K33" i="3"/>
  <c r="K93" i="3" s="1"/>
  <c r="T33" i="3"/>
  <c r="T93" i="3" s="1"/>
  <c r="D33" i="3"/>
  <c r="AC33" i="3"/>
  <c r="H33" i="3"/>
  <c r="T29" i="3"/>
  <c r="K29" i="3"/>
  <c r="K89" i="3" s="1"/>
  <c r="H29" i="3"/>
  <c r="D29" i="3"/>
  <c r="AC29" i="3"/>
  <c r="K36" i="3"/>
  <c r="K96" i="3" s="1"/>
  <c r="T36" i="3"/>
  <c r="D36" i="3"/>
  <c r="H36" i="3"/>
  <c r="AC36" i="3"/>
  <c r="K91" i="3"/>
  <c r="K38" i="3"/>
  <c r="K98" i="3" s="1"/>
  <c r="T38" i="3"/>
  <c r="T98" i="3" s="1"/>
  <c r="AC38" i="3"/>
  <c r="H38" i="3"/>
  <c r="D38" i="3"/>
  <c r="D5" i="3"/>
  <c r="K32" i="3"/>
  <c r="K92" i="3" s="1"/>
  <c r="T32" i="3"/>
  <c r="T92" i="3" s="1"/>
  <c r="AC32" i="3"/>
  <c r="D32" i="3"/>
  <c r="H32" i="3"/>
  <c r="T91" i="3"/>
  <c r="K34" i="3"/>
  <c r="K94" i="3" s="1"/>
  <c r="T34" i="3"/>
  <c r="T94" i="3" s="1"/>
  <c r="D34" i="3"/>
  <c r="AC34" i="3"/>
  <c r="H34" i="3"/>
  <c r="H45" i="11"/>
  <c r="D12" i="11"/>
  <c r="H12" i="11" s="1"/>
  <c r="E7" i="10"/>
  <c r="AC79" i="3"/>
  <c r="AA94" i="3"/>
  <c r="AA98" i="3"/>
  <c r="AC83" i="3"/>
  <c r="AC76" i="3"/>
  <c r="AC91" i="3" s="1"/>
  <c r="AA91" i="3"/>
  <c r="AA92" i="3"/>
  <c r="AC77" i="3"/>
  <c r="AC60" i="3"/>
  <c r="AA96" i="3"/>
  <c r="AC81" i="3"/>
  <c r="D60" i="3"/>
  <c r="AA93" i="3"/>
  <c r="AC78" i="3"/>
  <c r="AA97" i="3"/>
  <c r="AC82" i="3"/>
  <c r="AC97" i="3" s="1"/>
  <c r="AA100" i="3"/>
  <c r="AC85" i="3"/>
  <c r="AC100" i="3" s="1"/>
  <c r="AC65" i="3"/>
  <c r="H39" i="11" s="1"/>
  <c r="AA99" i="3"/>
  <c r="AC84" i="3"/>
  <c r="AC99" i="3" s="1"/>
  <c r="AA89" i="3"/>
  <c r="AC74" i="3"/>
  <c r="G7" i="10"/>
  <c r="D65" i="3"/>
  <c r="C91" i="3"/>
  <c r="D76" i="3"/>
  <c r="C97" i="3"/>
  <c r="D82" i="3"/>
  <c r="D97" i="3" s="1"/>
  <c r="G98" i="3"/>
  <c r="H83" i="3"/>
  <c r="C96" i="3"/>
  <c r="D81" i="3"/>
  <c r="C99" i="3"/>
  <c r="D84" i="3"/>
  <c r="D99" i="3" s="1"/>
  <c r="H74" i="3"/>
  <c r="G89" i="3"/>
  <c r="C98" i="3"/>
  <c r="D83" i="3"/>
  <c r="C89" i="3"/>
  <c r="D74" i="3"/>
  <c r="G92" i="3"/>
  <c r="H77" i="3"/>
  <c r="H65" i="3"/>
  <c r="H79" i="3"/>
  <c r="G94" i="3"/>
  <c r="H60" i="3"/>
  <c r="C93" i="3"/>
  <c r="D78" i="3"/>
  <c r="G96" i="3"/>
  <c r="H81" i="3"/>
  <c r="D85" i="3"/>
  <c r="D100" i="3" s="1"/>
  <c r="C100" i="3"/>
  <c r="H76" i="3"/>
  <c r="G91" i="3"/>
  <c r="G100" i="3"/>
  <c r="H85" i="3"/>
  <c r="H100" i="3" s="1"/>
  <c r="G93" i="3"/>
  <c r="H78" i="3"/>
  <c r="H82" i="3"/>
  <c r="H97" i="3" s="1"/>
  <c r="G97" i="3"/>
  <c r="C94" i="3"/>
  <c r="D79" i="3"/>
  <c r="D77" i="3"/>
  <c r="C92" i="3"/>
  <c r="G99" i="3"/>
  <c r="H84" i="3"/>
  <c r="H99" i="3" s="1"/>
  <c r="H41" i="11"/>
  <c r="H30" i="11"/>
  <c r="T17" i="3"/>
  <c r="U18" i="3"/>
  <c r="H67" i="5" l="1"/>
  <c r="P68" i="5"/>
  <c r="P67" i="5" s="1"/>
  <c r="O67" i="5"/>
  <c r="N67" i="5"/>
  <c r="R67" i="5"/>
  <c r="F7" i="10"/>
  <c r="F6" i="10" s="1"/>
  <c r="G6" i="10"/>
  <c r="X67" i="5"/>
  <c r="D10" i="11"/>
  <c r="H10" i="11" s="1"/>
  <c r="D15" i="11"/>
  <c r="H15" i="11" s="1"/>
  <c r="H11" i="10"/>
  <c r="Y67" i="5"/>
  <c r="AC43" i="3"/>
  <c r="N43" i="3"/>
  <c r="W95" i="3"/>
  <c r="Y8" i="5"/>
  <c r="Y7" i="5" s="1"/>
  <c r="F7" i="5"/>
  <c r="H57" i="11"/>
  <c r="W90" i="3"/>
  <c r="N90" i="3"/>
  <c r="H43" i="3"/>
  <c r="W58" i="3"/>
  <c r="W43" i="3"/>
  <c r="C3" i="12"/>
  <c r="C8" i="12" s="1"/>
  <c r="P7" i="5"/>
  <c r="D58" i="3"/>
  <c r="D13" i="11"/>
  <c r="H13" i="11" s="1"/>
  <c r="AC94" i="3"/>
  <c r="I7" i="10"/>
  <c r="D8" i="11"/>
  <c r="H8" i="11" s="1"/>
  <c r="D14" i="11"/>
  <c r="H14" i="11" s="1"/>
  <c r="I11" i="10"/>
  <c r="D93" i="3"/>
  <c r="H30" i="3"/>
  <c r="D30" i="3"/>
  <c r="N88" i="3"/>
  <c r="K30" i="3"/>
  <c r="K90" i="3" s="1"/>
  <c r="H35" i="3"/>
  <c r="T30" i="3"/>
  <c r="T90" i="3" s="1"/>
  <c r="D35" i="3"/>
  <c r="D98" i="3"/>
  <c r="H98" i="3"/>
  <c r="AC58" i="3"/>
  <c r="AC30" i="3"/>
  <c r="H92" i="3"/>
  <c r="AC92" i="3"/>
  <c r="D92" i="3"/>
  <c r="D94" i="3"/>
  <c r="AC35" i="3"/>
  <c r="T89" i="3"/>
  <c r="AC93" i="3"/>
  <c r="H93" i="3"/>
  <c r="AC98" i="3"/>
  <c r="G9" i="3"/>
  <c r="U9" i="3" s="1"/>
  <c r="G21" i="3"/>
  <c r="G11" i="3"/>
  <c r="U11" i="3" s="1"/>
  <c r="G16" i="3"/>
  <c r="U16" i="3" s="1"/>
  <c r="G10" i="3"/>
  <c r="U10" i="3" s="1"/>
  <c r="G12" i="3"/>
  <c r="U12" i="3" s="1"/>
  <c r="G8" i="3"/>
  <c r="U8" i="3" s="1"/>
  <c r="U17" i="3" s="1"/>
  <c r="T35" i="3"/>
  <c r="T95" i="3" s="1"/>
  <c r="T96" i="3"/>
  <c r="H94" i="3"/>
  <c r="H58" i="3"/>
  <c r="AC75" i="3"/>
  <c r="AC89" i="3"/>
  <c r="AC80" i="3"/>
  <c r="AC96" i="3"/>
  <c r="D9" i="11"/>
  <c r="H9" i="11" s="1"/>
  <c r="H75" i="3"/>
  <c r="D75" i="3"/>
  <c r="H80" i="3"/>
  <c r="H96" i="3"/>
  <c r="H91" i="3"/>
  <c r="D80" i="3"/>
  <c r="D91" i="3"/>
  <c r="H89" i="3"/>
  <c r="D89" i="3"/>
  <c r="D96" i="3"/>
  <c r="H6" i="10" l="1"/>
  <c r="K7" i="10"/>
  <c r="I6" i="10"/>
  <c r="W88" i="3"/>
  <c r="H28" i="3"/>
  <c r="D90" i="3"/>
  <c r="D95" i="3"/>
  <c r="H90" i="3"/>
  <c r="H95" i="3"/>
  <c r="D28" i="3"/>
  <c r="D3" i="12" s="1"/>
  <c r="D8" i="12" s="1"/>
  <c r="T28" i="3"/>
  <c r="T88" i="3" s="1"/>
  <c r="E3" i="12"/>
  <c r="E8" i="12" s="1"/>
  <c r="D73" i="3"/>
  <c r="AC90" i="3"/>
  <c r="D17" i="11"/>
  <c r="H17" i="11" s="1"/>
  <c r="G17" i="3"/>
  <c r="U21" i="3"/>
  <c r="AC28" i="3"/>
  <c r="C11" i="10"/>
  <c r="C6" i="10" s="1"/>
  <c r="K11" i="10"/>
  <c r="H73" i="3"/>
  <c r="H88" i="3" s="1"/>
  <c r="AC95" i="3"/>
  <c r="H61" i="11" s="1"/>
  <c r="H50" i="11"/>
  <c r="AC73" i="3"/>
  <c r="K39" i="3"/>
  <c r="K35" i="3" s="1"/>
  <c r="J99" i="3"/>
  <c r="E11" i="10" l="1"/>
  <c r="D88" i="3"/>
  <c r="AC88" i="3"/>
  <c r="K95" i="3"/>
  <c r="K28" i="3"/>
  <c r="K88" i="3" s="1"/>
  <c r="K99" i="3"/>
  <c r="E6" i="10" l="1"/>
  <c r="K6" i="10" s="1"/>
</calcChain>
</file>

<file path=xl/sharedStrings.xml><?xml version="1.0" encoding="utf-8"?>
<sst xmlns="http://schemas.openxmlformats.org/spreadsheetml/2006/main" count="2082" uniqueCount="345">
  <si>
    <t>LỰC LƯỢNG</t>
  </si>
  <si>
    <t>QUÂN SỐ</t>
  </si>
  <si>
    <t>Vũ khí bộ binh</t>
  </si>
  <si>
    <t>Lựu đạn</t>
  </si>
  <si>
    <t>Cối</t>
  </si>
  <si>
    <t>PCT</t>
  </si>
  <si>
    <t>Pháo PK</t>
  </si>
  <si>
    <t>SN</t>
  </si>
  <si>
    <t>TL</t>
  </si>
  <si>
    <t>TrL</t>
  </si>
  <si>
    <t>ĐL</t>
  </si>
  <si>
    <t>B41, M79</t>
  </si>
  <si>
    <t>SPG9</t>
  </si>
  <si>
    <t>1. Trong biên chế</t>
  </si>
  <si>
    <t>2. LL tăng cường</t>
  </si>
  <si>
    <t>Tổng</t>
  </si>
  <si>
    <t>dBB</t>
  </si>
  <si>
    <t>1 cSPG-9/e</t>
  </si>
  <si>
    <t>1 cSMPK 12,7mm/e</t>
  </si>
  <si>
    <t>1b VTB/e</t>
  </si>
  <si>
    <t>1 tổ QY/e</t>
  </si>
  <si>
    <t>TỔ CHỨC BIÊN CHẾ, TRANG BỊ HƯỚNG CHỦ YẾU</t>
  </si>
  <si>
    <t>cCo82(-)/d</t>
  </si>
  <si>
    <t>Y tá/d</t>
  </si>
  <si>
    <t>a VTB</t>
  </si>
  <si>
    <t>TỔ CHỨC BIÊN CHẾ, TRANG BỊ HƯỚNG THỨ YẾU</t>
  </si>
  <si>
    <t>TỔ CHỨC BIÊN CHẾ, TRANG BỊ LỰC LƯỢNG CÒN LẠI</t>
  </si>
  <si>
    <t>Lực lượng còn lại</t>
  </si>
  <si>
    <t>2. Lực lượng tăng cường</t>
  </si>
  <si>
    <t>TRANG BỊ KỸ THUẬT</t>
  </si>
  <si>
    <t>VẬT TỰ KỸ THUẬT</t>
  </si>
  <si>
    <t>ON</t>
  </si>
  <si>
    <t>ĐB</t>
  </si>
  <si>
    <t>QS</t>
  </si>
  <si>
    <t>Hướng chủ yếu</t>
  </si>
  <si>
    <t>Hướng thứ yếu</t>
  </si>
  <si>
    <t>cBB1</t>
  </si>
  <si>
    <t>Cộng</t>
  </si>
  <si>
    <t xml:space="preserve">          Loại VC
  Các chỉ tiêu</t>
  </si>
  <si>
    <t>ĐẠN BB
 NHÓM I</t>
  </si>
  <si>
    <t>LỰU ĐẠN</t>
  </si>
  <si>
    <t>+</t>
  </si>
  <si>
    <t>CS</t>
  </si>
  <si>
    <t>Tấn</t>
  </si>
  <si>
    <t>Số Khẩu</t>
  </si>
  <si>
    <t>Tr.l /1V</t>
  </si>
  <si>
    <t>SV/CS</t>
  </si>
  <si>
    <t>TL 1CS</t>
  </si>
  <si>
    <t>TL 1ĐVT (tấn)</t>
  </si>
  <si>
    <t>1. NHU CẦU</t>
  </si>
  <si>
    <t>2. TIÊU THỤ</t>
  </si>
  <si>
    <t xml:space="preserve">   GĐCB</t>
  </si>
  <si>
    <t>B41,M79</t>
  </si>
  <si>
    <t xml:space="preserve">   GĐCĐ</t>
  </si>
  <si>
    <t>1CS Đạn BB N1</t>
  </si>
  <si>
    <t>3. PC SCĐ</t>
  </si>
  <si>
    <t>Co60</t>
  </si>
  <si>
    <t>Co82</t>
  </si>
  <si>
    <t>Co100</t>
  </si>
  <si>
    <t>4. HIỆN CÓ</t>
  </si>
  <si>
    <t>SMPK12,7</t>
  </si>
  <si>
    <t>6. BỔ SUNG</t>
  </si>
  <si>
    <t xml:space="preserve"> a.GĐCB</t>
  </si>
  <si>
    <t xml:space="preserve"> b. GĐCĐ</t>
  </si>
  <si>
    <t>Phối thuộc</t>
  </si>
  <si>
    <t>5. PC TNS</t>
  </si>
  <si>
    <t>ĐẠN PPK</t>
  </si>
  <si>
    <t>ĐẠN BB NHÓM 2</t>
  </si>
  <si>
    <t>1CS Đạn BB N2</t>
  </si>
  <si>
    <t>Tiểu đoàn</t>
  </si>
  <si>
    <t xml:space="preserve">Phụ lục 14: NHU CẦU, TIÊU THỤ, BỔ SUNG ĐẠN TIỂU ĐOÀN BỘ BINH TIẾN CÔNG ĐỊNH PHÒNG NGỰ RỪNG NÚI (phương án)
</t>
  </si>
  <si>
    <t>Toàn trận</t>
  </si>
  <si>
    <t>HƯỚNG CHỦ YẾU</t>
  </si>
  <si>
    <t>HƯỚNG THỨ YẾU</t>
  </si>
  <si>
    <t>LỰC LƯỢNG CÒN LẠI</t>
  </si>
  <si>
    <t>2. LL phối thuộc</t>
  </si>
  <si>
    <t>Nuôi quân</t>
  </si>
  <si>
    <t>B41</t>
  </si>
  <si>
    <t>LLDB</t>
  </si>
  <si>
    <t>Quy định, phân cấp dự trữ vật chất hậu cần, vật tư kỹ thuật</t>
  </si>
  <si>
    <t>ĐSTB</t>
  </si>
  <si>
    <t>BB</t>
  </si>
  <si>
    <t>QTCĐ</t>
  </si>
  <si>
    <t>BCN</t>
  </si>
  <si>
    <t>Dầu thắp</t>
  </si>
  <si>
    <t>QLCĐ</t>
  </si>
  <si>
    <t>VTKT</t>
  </si>
  <si>
    <t>ĐVT</t>
  </si>
  <si>
    <t>N/a</t>
  </si>
  <si>
    <t>%QS</t>
  </si>
  <si>
    <t>Túi</t>
  </si>
  <si>
    <t>C/ng</t>
  </si>
  <si>
    <t>Nội dung</t>
  </si>
  <si>
    <t>Toàn d</t>
  </si>
  <si>
    <t>Tỷ lệ TBBB</t>
  </si>
  <si>
    <t>Quân số</t>
  </si>
  <si>
    <t>Dự kiến tỷ lệ TBBB</t>
  </si>
  <si>
    <t>TB</t>
  </si>
  <si>
    <t>TBHH</t>
  </si>
  <si>
    <t>%TB</t>
  </si>
  <si>
    <t>HCY</t>
  </si>
  <si>
    <t>HTY</t>
  </si>
  <si>
    <t>LLCL</t>
  </si>
  <si>
    <t>Ngày cao nhất</t>
  </si>
  <si>
    <t>Nhẹ</t>
  </si>
  <si>
    <t>Vừa</t>
  </si>
  <si>
    <t>Nặng</t>
  </si>
  <si>
    <t>Nhỏ</t>
  </si>
  <si>
    <t>SMPK 12,7</t>
  </si>
  <si>
    <t>Đạn</t>
  </si>
  <si>
    <t>QY</t>
  </si>
  <si>
    <t>DT</t>
  </si>
  <si>
    <t>GĐCB</t>
  </si>
  <si>
    <t>GĐCĐ</t>
  </si>
  <si>
    <t>TT</t>
  </si>
  <si>
    <t>PC SCĐ</t>
  </si>
  <si>
    <t>1 tổ SC/e</t>
  </si>
  <si>
    <t>1 cO100/e</t>
  </si>
  <si>
    <t>Loại đạn</t>
  </si>
  <si>
    <t>Số lượng VK</t>
  </si>
  <si>
    <t>Nhu cầu</t>
  </si>
  <si>
    <t>Tiêu thụ</t>
  </si>
  <si>
    <t>Hiện có</t>
  </si>
  <si>
    <t>Kế hoạch tiếp nhận, bảo đảm</t>
  </si>
  <si>
    <t>Cơ số</t>
  </si>
  <si>
    <t>SMPK 12,7mm</t>
  </si>
  <si>
    <t>Cối 100mm</t>
  </si>
  <si>
    <t>Cối 82mm</t>
  </si>
  <si>
    <t>Cối 60mm</t>
  </si>
  <si>
    <t>Súng SPG-9</t>
  </si>
  <si>
    <t>Súng B41</t>
  </si>
  <si>
    <t>Súng đại liên</t>
  </si>
  <si>
    <t>Súng trung liên</t>
  </si>
  <si>
    <t>Súng tiểu liên</t>
  </si>
  <si>
    <t>Súng ngắn</t>
  </si>
  <si>
    <t>Đạn BB nhóm 2</t>
  </si>
  <si>
    <t>Đạn BB nhóm 1</t>
  </si>
  <si>
    <t>LL còn lại</t>
  </si>
  <si>
    <t>Chỉ tiêu</t>
  </si>
  <si>
    <t>TL ĐVT</t>
  </si>
  <si>
    <t>TL ĐVT (PT)</t>
  </si>
  <si>
    <t>Quy định dự trữ, tiêu thụ</t>
  </si>
  <si>
    <t>Quy định dự trữ</t>
  </si>
  <si>
    <t>d</t>
  </si>
  <si>
    <t>PT</t>
  </si>
  <si>
    <t>Bổ sung</t>
  </si>
  <si>
    <t>Thời gian</t>
  </si>
  <si>
    <t>Địa điểm</t>
  </si>
  <si>
    <t>Phương thức</t>
  </si>
  <si>
    <t>Trách nhiệm vận chuyển</t>
  </si>
  <si>
    <t>TL ĐVT (d)</t>
  </si>
  <si>
    <t>Lương khô</t>
  </si>
  <si>
    <t>I. Toàn d</t>
  </si>
  <si>
    <t>1. Quân nhu</t>
  </si>
  <si>
    <t>2. Quân y</t>
  </si>
  <si>
    <t>Túi y sĩ</t>
  </si>
  <si>
    <t>Túi y tá</t>
  </si>
  <si>
    <t>Túi cứu thương</t>
  </si>
  <si>
    <t>3. Doanh trại</t>
  </si>
  <si>
    <t>4. VTKT</t>
  </si>
  <si>
    <t>ngày</t>
  </si>
  <si>
    <t>II. Hướng chủ yếu</t>
  </si>
  <si>
    <t>II. Hướng thứ yếu</t>
  </si>
  <si>
    <t>II. LL còn lại</t>
  </si>
  <si>
    <t>Loại VKTBKT</t>
  </si>
  <si>
    <t>Số lượng TBKT tham gia CĐ</t>
  </si>
  <si>
    <r>
      <t xml:space="preserve">Dự kiến tỷ lệ hư hỏng 1 ngày đêm </t>
    </r>
    <r>
      <rPr>
        <sz val="11"/>
        <color theme="1"/>
        <rFont val="Times New Roman"/>
        <family val="1"/>
      </rPr>
      <t>(%)</t>
    </r>
  </si>
  <si>
    <t>Tổng số TBKT hư hỏng</t>
  </si>
  <si>
    <t>Khả năng sửa chữa trong 1 ngày đêm</t>
  </si>
  <si>
    <t>Hủy</t>
  </si>
  <si>
    <t>Lớn</t>
  </si>
  <si>
    <t>SPG-9</t>
  </si>
  <si>
    <t>Tiểu liên</t>
  </si>
  <si>
    <t>Trung liên</t>
  </si>
  <si>
    <t>Đại liên</t>
  </si>
  <si>
    <t>Cối 100</t>
  </si>
  <si>
    <t>Cối 82</t>
  </si>
  <si>
    <t>Cối 60</t>
  </si>
  <si>
    <t>Còn lại chưa sửa chữa được</t>
  </si>
  <si>
    <t>Khối lượng vận chuyển</t>
  </si>
  <si>
    <t>Ghi chú</t>
  </si>
  <si>
    <t>Vũ khí trang bị kỹ thuật</t>
  </si>
  <si>
    <t>Vật chất hậu cần</t>
  </si>
  <si>
    <t>Vật chất khác</t>
  </si>
  <si>
    <t>Người</t>
  </si>
  <si>
    <t>VKTB</t>
  </si>
  <si>
    <t>QN</t>
  </si>
  <si>
    <t>Đơn vị tính</t>
  </si>
  <si>
    <t>Trên chuyển</t>
  </si>
  <si>
    <t>Cấp mình</t>
  </si>
  <si>
    <t>Dưới chuyển</t>
  </si>
  <si>
    <t>Nội dung, Đơn vị được vận chuyển</t>
  </si>
  <si>
    <t>TBKT, vật chất HC, KT</t>
  </si>
  <si>
    <r>
      <t xml:space="preserve">Cự ly </t>
    </r>
    <r>
      <rPr>
        <sz val="11"/>
        <color theme="1"/>
        <rFont val="Times New Roman"/>
        <family val="1"/>
      </rPr>
      <t>(km)</t>
    </r>
  </si>
  <si>
    <t>Vận chuyển khác</t>
  </si>
  <si>
    <t>Chủng loại</t>
  </si>
  <si>
    <t>Nơi nhận</t>
  </si>
  <si>
    <t>Nơi giao</t>
  </si>
  <si>
    <t>TBKT</t>
  </si>
  <si>
    <t>Bắt đầu</t>
  </si>
  <si>
    <t>Kết thúc</t>
  </si>
  <si>
    <t>TỔNG SỐ</t>
  </si>
  <si>
    <t>GĐCB CĐ</t>
  </si>
  <si>
    <t>GĐTH CĐ</t>
  </si>
  <si>
    <t>Vận chuyển thô sơ</t>
  </si>
  <si>
    <t>Hướng CY</t>
  </si>
  <si>
    <t>Hướng TY</t>
  </si>
  <si>
    <t>người</t>
  </si>
  <si>
    <t>Khối lượng (tấn)</t>
  </si>
  <si>
    <t>vật chất (tấn)</t>
  </si>
  <si>
    <t>tấn</t>
  </si>
  <si>
    <t xml:space="preserve">tấn </t>
  </si>
  <si>
    <t>HCKT/d</t>
  </si>
  <si>
    <t>Các hướng</t>
  </si>
  <si>
    <t>17.00 N-3</t>
  </si>
  <si>
    <t>17.00 N-2</t>
  </si>
  <si>
    <t>21.00 N-1</t>
  </si>
  <si>
    <t>Khi có lệnh</t>
  </si>
  <si>
    <t>23.00 N-1</t>
  </si>
  <si>
    <t>20.00 N-3</t>
  </si>
  <si>
    <t>20.00 N-2</t>
  </si>
  <si>
    <t>Trước nổ súng</t>
  </si>
  <si>
    <t>thực hành nổ súng</t>
  </si>
  <si>
    <t>STT</t>
  </si>
  <si>
    <t>Đơn vị</t>
  </si>
  <si>
    <t>SQ</t>
  </si>
  <si>
    <t>QNCN</t>
  </si>
  <si>
    <t>HSQ-BS</t>
  </si>
  <si>
    <t>Vũ khí</t>
  </si>
  <si>
    <t>TB khác</t>
  </si>
  <si>
    <t>Xe-máy</t>
  </si>
  <si>
    <t>Phân chia lực lượng</t>
  </si>
  <si>
    <t>Bộ phận HC-KT</t>
  </si>
  <si>
    <t>Lực lượng tăng cường cho đơn vị</t>
  </si>
  <si>
    <t>TLHC/d</t>
  </si>
  <si>
    <t>NVQK</t>
  </si>
  <si>
    <t>-</t>
  </si>
  <si>
    <t>NVQN</t>
  </si>
  <si>
    <t>NVKT</t>
  </si>
  <si>
    <t>QY/d</t>
  </si>
  <si>
    <t>bVTB/d</t>
  </si>
  <si>
    <t>bPV/d</t>
  </si>
  <si>
    <t>LL tăng cường</t>
  </si>
  <si>
    <t>Phân đội HC-KT</t>
  </si>
  <si>
    <t>QY/e</t>
  </si>
  <si>
    <t>bVTB/e</t>
  </si>
  <si>
    <t>Tổ SC/e</t>
  </si>
  <si>
    <t>PC TQĐ</t>
  </si>
  <si>
    <t>Quả</t>
  </si>
  <si>
    <t>Loại vật chất</t>
  </si>
  <si>
    <t>Quân nhu</t>
  </si>
  <si>
    <t>Quân y</t>
  </si>
  <si>
    <t>Doanh trại</t>
  </si>
  <si>
    <t>2. Phân cấp một số loại vật chất hậu cần chủ yếu</t>
  </si>
  <si>
    <t>Kho d</t>
  </si>
  <si>
    <t>Kho</t>
  </si>
  <si>
    <t>ĐV</t>
  </si>
  <si>
    <t>Phân bổ chuyển thương</t>
  </si>
  <si>
    <t>Cáng bộ</t>
  </si>
  <si>
    <t>Tự đi</t>
  </si>
  <si>
    <t>I</t>
  </si>
  <si>
    <t>II</t>
  </si>
  <si>
    <t>2. Khối lượng vận tải và phân cấp vận chuyển</t>
  </si>
  <si>
    <t>Tình hình đạn, VCHC, VTKT</t>
  </si>
  <si>
    <t>Kho/d</t>
  </si>
  <si>
    <t>ĐẠN</t>
  </si>
  <si>
    <t>Đạn K51 (súng ngắn)</t>
  </si>
  <si>
    <t>CS/k</t>
  </si>
  <si>
    <t>Đạn K56 (súng TL, Tr.L)</t>
  </si>
  <si>
    <t>,,</t>
  </si>
  <si>
    <t>Đạn K53 (súng ĐL)</t>
  </si>
  <si>
    <t>Đạn B41</t>
  </si>
  <si>
    <t>Đạn SPG-9</t>
  </si>
  <si>
    <t>Đạn Co60 mm</t>
  </si>
  <si>
    <t>Đạn Co82 mm</t>
  </si>
  <si>
    <t>Đạn SMPK 12,7</t>
  </si>
  <si>
    <t>VẬT CHẤT HẬU CẦN</t>
  </si>
  <si>
    <t>Lương thực, thực phẩm</t>
  </si>
  <si>
    <t>Ngày ăn</t>
  </si>
  <si>
    <t>Đường sữa thương binh</t>
  </si>
  <si>
    <t>% QS</t>
  </si>
  <si>
    <t>Quân lương chiến đấu</t>
  </si>
  <si>
    <t>Quân trang chiến đấu</t>
  </si>
  <si>
    <t>Túi y sỹ</t>
  </si>
  <si>
    <t>Băng cá nhân</t>
  </si>
  <si>
    <t>C/người</t>
  </si>
  <si>
    <t>Ngày</t>
  </si>
  <si>
    <t>III</t>
  </si>
  <si>
    <t>VẬT TƯ KỸ THUẬT</t>
  </si>
  <si>
    <t>Vật tư quân khí</t>
  </si>
  <si>
    <t>Loại Vật chất</t>
  </si>
  <si>
    <t>Phải có 04.00N</t>
  </si>
  <si>
    <t>Phải có sau chiến đấu</t>
  </si>
  <si>
    <t>Gạo, thực phẩm</t>
  </si>
  <si>
    <t>Đường sữa thương binh</t>
  </si>
  <si>
    <t>II.</t>
  </si>
  <si>
    <t>Vật tư kỹ thuật</t>
  </si>
  <si>
    <t>1. Dự kiến khối lượng đạn, VHCH, VTKT</t>
  </si>
  <si>
    <t>Loại VC</t>
  </si>
  <si>
    <t>Đạn, lựu đạn</t>
  </si>
  <si>
    <t>1. Quy định dự trữ, tiêu thụ, bổ sung vật chất</t>
  </si>
  <si>
    <t>Đạn, vật chất hậu cần, vật tư kỹ thuật</t>
  </si>
  <si>
    <t>Phải có 04.00-N</t>
  </si>
  <si>
    <t>Phải có SCĐ</t>
  </si>
  <si>
    <t>Đạn 12,7 mm</t>
  </si>
  <si>
    <t>Đạn cối 100 mm</t>
  </si>
  <si>
    <t>Đạn cối 82 mm</t>
  </si>
  <si>
    <t>Đạn cối 60 mm</t>
  </si>
  <si>
    <t>LTTP</t>
  </si>
  <si>
    <t>PNPS</t>
  </si>
  <si>
    <t>TỔ CHỨC BIÊN CHẾ, TRANG BỊ TIỂU ĐOÀN BỘ BINH PHÒNG NGỰ BỜ BIỂN</t>
  </si>
  <si>
    <t>TỔ CHỨC BIÊN CHẾ, TRANG BỊ LỰC LƯỢNG PHÒNG NGỰ PHÍA SAU</t>
  </si>
  <si>
    <t>Đạn K51 (SN)</t>
  </si>
  <si>
    <t>Đạn K56 (TL, TrL)</t>
  </si>
  <si>
    <t>Đạn K53 (ĐL)</t>
  </si>
  <si>
    <t>LỰC LƯỢNG PNPS</t>
  </si>
  <si>
    <t>BP PNPS</t>
  </si>
  <si>
    <t>II. BP PNPS</t>
  </si>
  <si>
    <t>Doanh Trại</t>
  </si>
  <si>
    <t>A</t>
  </si>
  <si>
    <t>B</t>
  </si>
  <si>
    <t>Đạn Co100 mm</t>
  </si>
  <si>
    <t>C</t>
  </si>
  <si>
    <t>LL phía sau</t>
  </si>
  <si>
    <t>cBB7/dBB2</t>
  </si>
  <si>
    <t>1 c CB(-)/e</t>
  </si>
  <si>
    <t>1 bHH/f</t>
  </si>
  <si>
    <t>1 b SPG-9/e</t>
  </si>
  <si>
    <t>b SMPK 12,7mm/e</t>
  </si>
  <si>
    <t>cBB2 (-)</t>
  </si>
  <si>
    <t>Nuôi quân/d</t>
  </si>
  <si>
    <t>1bSPG9/d</t>
  </si>
  <si>
    <t>1bCo82/d</t>
  </si>
  <si>
    <t>1bSMPK12,7</t>
  </si>
  <si>
    <t>cBB3</t>
  </si>
  <si>
    <t xml:space="preserve">Nuôi quân </t>
  </si>
  <si>
    <t>1cCo100mm/e</t>
  </si>
  <si>
    <t>1cSPG-9/e</t>
  </si>
  <si>
    <t>1cSMPK12,7mm/e</t>
  </si>
  <si>
    <t>1cCB(-)/e</t>
  </si>
  <si>
    <t>1bHH/f</t>
  </si>
  <si>
    <t>1bVTB/e</t>
  </si>
  <si>
    <t>cBB7</t>
  </si>
  <si>
    <t>Trang bị kỹ thuật</t>
  </si>
  <si>
    <t>(+ thêm dòng)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</si>
</sst>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"/>
    <numFmt numFmtId="165" formatCode="#,##0.000"/>
    <numFmt numFmtId="166" formatCode="#,##0.0"/>
    <numFmt numFmtId="167" formatCode="0.000"/>
    <numFmt numFmtId="168" formatCode="0.0"/>
    <numFmt numFmtId="169" formatCode="0.0000"/>
  </numFmts>
  <fonts count="37">
    <font>
      <sz val="11"/>
      <color theme="1"/>
      <name val="Calibri"/>
      <family val="2"/>
      <charset val="163"/>
      <scheme val="minor"/>
    </font>
    <font>
      <sz val="14"/>
      <color theme="1"/>
      <name val="Calibri"/>
      <family val="2"/>
      <charset val="163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theme="1"/>
      <name val="#9Slide02 Tieu de rat dai 01"/>
      <charset val="163"/>
    </font>
    <font>
      <b/>
      <sz val="14"/>
      <color rgb="FFFF0000"/>
      <name val="Times New Roman"/>
      <family val="1"/>
      <charset val="163"/>
    </font>
    <font>
      <b/>
      <sz val="13"/>
      <color theme="1"/>
      <name val="#9Slide02 Tieu de rat dai 01"/>
      <charset val="163"/>
    </font>
    <font>
      <sz val="14"/>
      <color theme="1"/>
      <name val="#9Slide02 Tieu de rat dai 01"/>
      <charset val="163"/>
    </font>
    <font>
      <sz val="13"/>
      <color theme="1"/>
      <name val="#9Slide02 Tieu de rat dai 01"/>
      <charset val="163"/>
    </font>
    <font>
      <b/>
      <sz val="14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Times New Roman"/>
      <family val="1"/>
      <charset val="163"/>
    </font>
    <font>
      <sz val="14"/>
      <name val="Times New Roman"/>
      <family val="1"/>
      <charset val="163"/>
    </font>
    <font>
      <sz val="12"/>
      <name val="Times New Roman"/>
      <family val="1"/>
    </font>
    <font>
      <sz val="14"/>
      <name val="Calibri"/>
      <family val="2"/>
      <scheme val="minor"/>
    </font>
    <font>
      <i/>
      <sz val="14"/>
      <name val="Times New Roman"/>
      <family val="1"/>
    </font>
    <font>
      <b/>
      <sz val="14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6"/>
      <name val="#9Slide02 Tieu de rat dai 01"/>
      <charset val="163"/>
    </font>
    <font>
      <b/>
      <sz val="16"/>
      <color rgb="FFFF0000"/>
      <name val="#9Slide01 Tieu de ngan"/>
      <charset val="163"/>
    </font>
    <font>
      <sz val="14"/>
      <color theme="1"/>
      <name val="Times New Roman"/>
      <family val="1"/>
      <charset val="163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i/>
      <sz val="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1">
    <xf numFmtId="0" fontId="0" fillId="0" borderId="0" xfId="0"/>
    <xf numFmtId="0" fontId="1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4" fontId="14" fillId="0" borderId="0" xfId="0" applyNumberFormat="1" applyFont="1"/>
    <xf numFmtId="4" fontId="4" fillId="0" borderId="0" xfId="0" applyNumberFormat="1" applyFont="1"/>
    <xf numFmtId="4" fontId="10" fillId="0" borderId="0" xfId="0" applyNumberFormat="1" applyFont="1" applyAlignment="1">
      <alignment horizontal="right"/>
    </xf>
    <xf numFmtId="4" fontId="16" fillId="0" borderId="0" xfId="0" applyNumberFormat="1" applyFont="1"/>
    <xf numFmtId="4" fontId="17" fillId="2" borderId="2" xfId="0" applyNumberFormat="1" applyFont="1" applyFill="1" applyBorder="1" applyAlignment="1">
      <alignment horizontal="center" vertical="center"/>
    </xf>
    <xf numFmtId="4" fontId="13" fillId="2" borderId="2" xfId="0" applyNumberFormat="1" applyFont="1" applyFill="1" applyBorder="1"/>
    <xf numFmtId="0" fontId="18" fillId="0" borderId="2" xfId="0" applyFont="1" applyBorder="1"/>
    <xf numFmtId="164" fontId="18" fillId="0" borderId="2" xfId="0" applyNumberFormat="1" applyFont="1" applyBorder="1"/>
    <xf numFmtId="164" fontId="0" fillId="0" borderId="0" xfId="0" applyNumberFormat="1"/>
    <xf numFmtId="164" fontId="17" fillId="2" borderId="2" xfId="0" applyNumberFormat="1" applyFont="1" applyFill="1" applyBorder="1" applyAlignment="1">
      <alignment horizontal="center" vertical="center"/>
    </xf>
    <xf numFmtId="164" fontId="13" fillId="0" borderId="2" xfId="0" applyNumberFormat="1" applyFont="1" applyBorder="1" applyAlignment="1">
      <alignment horizontal="right"/>
    </xf>
    <xf numFmtId="3" fontId="18" fillId="0" borderId="2" xfId="0" applyNumberFormat="1" applyFont="1" applyBorder="1"/>
    <xf numFmtId="3" fontId="0" fillId="0" borderId="0" xfId="0" applyNumberFormat="1"/>
    <xf numFmtId="3" fontId="13" fillId="0" borderId="2" xfId="0" applyNumberFormat="1" applyFont="1" applyBorder="1" applyAlignment="1">
      <alignment horizontal="right" vertical="center"/>
    </xf>
    <xf numFmtId="164" fontId="13" fillId="0" borderId="2" xfId="0" applyNumberFormat="1" applyFont="1" applyBorder="1" applyAlignment="1">
      <alignment horizontal="right" vertical="center"/>
    </xf>
    <xf numFmtId="164" fontId="17" fillId="2" borderId="2" xfId="0" applyNumberFormat="1" applyFont="1" applyFill="1" applyBorder="1" applyAlignment="1">
      <alignment horizontal="right" vertical="center"/>
    </xf>
    <xf numFmtId="3" fontId="17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0" fontId="21" fillId="0" borderId="2" xfId="0" applyFont="1" applyBorder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2" fillId="0" borderId="2" xfId="0" applyFont="1" applyBorder="1"/>
    <xf numFmtId="0" fontId="22" fillId="0" borderId="2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2" fillId="0" borderId="0" xfId="0" applyFont="1" applyAlignment="1">
      <alignment vertical="center"/>
    </xf>
    <xf numFmtId="3" fontId="13" fillId="10" borderId="2" xfId="0" applyNumberFormat="1" applyFont="1" applyFill="1" applyBorder="1" applyAlignment="1">
      <alignment horizontal="right" vertical="center"/>
    </xf>
    <xf numFmtId="0" fontId="18" fillId="10" borderId="2" xfId="0" applyFont="1" applyFill="1" applyBorder="1"/>
    <xf numFmtId="0" fontId="23" fillId="0" borderId="0" xfId="0" applyFont="1"/>
    <xf numFmtId="0" fontId="23" fillId="0" borderId="0" xfId="0" applyFont="1" applyAlignment="1">
      <alignment vertical="center"/>
    </xf>
    <xf numFmtId="1" fontId="23" fillId="6" borderId="2" xfId="0" applyNumberFormat="1" applyFont="1" applyFill="1" applyBorder="1" applyAlignment="1">
      <alignment horizontal="center" vertical="center"/>
    </xf>
    <xf numFmtId="1" fontId="22" fillId="6" borderId="2" xfId="0" applyNumberFormat="1" applyFont="1" applyFill="1" applyBorder="1" applyAlignment="1">
      <alignment horizontal="center" vertical="center"/>
    </xf>
    <xf numFmtId="0" fontId="23" fillId="12" borderId="2" xfId="0" applyFont="1" applyFill="1" applyBorder="1"/>
    <xf numFmtId="0" fontId="23" fillId="12" borderId="2" xfId="0" applyFont="1" applyFill="1" applyBorder="1" applyAlignment="1">
      <alignment horizontal="center" vertical="center"/>
    </xf>
    <xf numFmtId="0" fontId="23" fillId="12" borderId="2" xfId="0" applyFont="1" applyFill="1" applyBorder="1" applyAlignment="1">
      <alignment vertical="center"/>
    </xf>
    <xf numFmtId="0" fontId="22" fillId="12" borderId="2" xfId="0" applyFont="1" applyFill="1" applyBorder="1" applyAlignment="1">
      <alignment vertical="center"/>
    </xf>
    <xf numFmtId="0" fontId="22" fillId="12" borderId="2" xfId="0" applyFont="1" applyFill="1" applyBorder="1" applyAlignment="1">
      <alignment horizontal="center" vertical="center"/>
    </xf>
    <xf numFmtId="1" fontId="22" fillId="12" borderId="2" xfId="0" applyNumberFormat="1" applyFont="1" applyFill="1" applyBorder="1" applyAlignment="1">
      <alignment horizontal="center" vertical="center"/>
    </xf>
    <xf numFmtId="2" fontId="22" fillId="12" borderId="2" xfId="0" applyNumberFormat="1" applyFont="1" applyFill="1" applyBorder="1" applyAlignment="1">
      <alignment horizontal="center" vertical="center"/>
    </xf>
    <xf numFmtId="2" fontId="22" fillId="12" borderId="2" xfId="0" applyNumberFormat="1" applyFont="1" applyFill="1" applyBorder="1" applyAlignment="1">
      <alignment vertical="center"/>
    </xf>
    <xf numFmtId="0" fontId="22" fillId="12" borderId="2" xfId="0" applyFont="1" applyFill="1" applyBorder="1"/>
    <xf numFmtId="2" fontId="23" fillId="12" borderId="2" xfId="0" applyNumberFormat="1" applyFont="1" applyFill="1" applyBorder="1" applyAlignment="1">
      <alignment vertical="center"/>
    </xf>
    <xf numFmtId="2" fontId="23" fillId="12" borderId="2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justify" vertical="center" wrapText="1"/>
    </xf>
    <xf numFmtId="0" fontId="30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justify" vertical="center" wrapText="1"/>
    </xf>
    <xf numFmtId="0" fontId="29" fillId="0" borderId="0" xfId="0" applyFont="1" applyAlignment="1">
      <alignment horizontal="left" vertical="center" wrapText="1"/>
    </xf>
    <xf numFmtId="0" fontId="25" fillId="0" borderId="0" xfId="0" applyFont="1" applyAlignment="1">
      <alignment vertical="center" textRotation="90"/>
    </xf>
    <xf numFmtId="0" fontId="25" fillId="0" borderId="0" xfId="0" quotePrefix="1" applyFont="1" applyAlignment="1">
      <alignment vertical="center" textRotation="90"/>
    </xf>
    <xf numFmtId="0" fontId="25" fillId="0" borderId="0" xfId="0" applyFont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22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166" fontId="28" fillId="0" borderId="2" xfId="0" applyNumberFormat="1" applyFont="1" applyBorder="1" applyAlignment="1">
      <alignment vertical="center" wrapText="1"/>
    </xf>
    <xf numFmtId="166" fontId="22" fillId="0" borderId="2" xfId="0" applyNumberFormat="1" applyFont="1" applyBorder="1" applyAlignment="1">
      <alignment vertical="center"/>
    </xf>
    <xf numFmtId="4" fontId="28" fillId="0" borderId="2" xfId="0" applyNumberFormat="1" applyFont="1" applyBorder="1" applyAlignment="1">
      <alignment vertical="center" wrapText="1"/>
    </xf>
    <xf numFmtId="165" fontId="28" fillId="0" borderId="2" xfId="0" applyNumberFormat="1" applyFont="1" applyBorder="1" applyAlignment="1">
      <alignment vertical="center" wrapText="1"/>
    </xf>
    <xf numFmtId="167" fontId="23" fillId="12" borderId="2" xfId="0" applyNumberFormat="1" applyFont="1" applyFill="1" applyBorder="1" applyAlignment="1">
      <alignment horizontal="center" vertical="center"/>
    </xf>
    <xf numFmtId="165" fontId="22" fillId="0" borderId="2" xfId="0" applyNumberFormat="1" applyFont="1" applyBorder="1" applyAlignment="1">
      <alignment vertical="center" wrapText="1"/>
    </xf>
    <xf numFmtId="165" fontId="22" fillId="0" borderId="2" xfId="0" applyNumberFormat="1" applyFont="1" applyBorder="1"/>
    <xf numFmtId="0" fontId="3" fillId="0" borderId="19" xfId="0" applyFont="1" applyBorder="1" applyAlignment="1">
      <alignment horizontal="center" vertical="center" wrapText="1"/>
    </xf>
    <xf numFmtId="0" fontId="28" fillId="0" borderId="0" xfId="0" applyFont="1" applyAlignment="1">
      <alignment vertical="top" wrapText="1"/>
    </xf>
    <xf numFmtId="0" fontId="28" fillId="10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32" fillId="0" borderId="0" xfId="0" applyFont="1"/>
    <xf numFmtId="0" fontId="32" fillId="0" borderId="2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vertical="center"/>
    </xf>
    <xf numFmtId="0" fontId="33" fillId="0" borderId="2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0" fillId="3" borderId="2" xfId="0" applyFill="1" applyBorder="1"/>
    <xf numFmtId="0" fontId="26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0" fillId="11" borderId="2" xfId="0" applyFill="1" applyBorder="1"/>
    <xf numFmtId="0" fontId="3" fillId="0" borderId="0" xfId="0" applyFont="1"/>
    <xf numFmtId="0" fontId="3" fillId="12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vertical="center" wrapText="1"/>
    </xf>
    <xf numFmtId="0" fontId="35" fillId="0" borderId="0" xfId="0" applyFont="1"/>
    <xf numFmtId="0" fontId="2" fillId="12" borderId="18" xfId="0" applyFont="1" applyFill="1" applyBorder="1" applyAlignment="1">
      <alignment horizontal="center" vertical="center" wrapText="1"/>
    </xf>
    <xf numFmtId="0" fontId="30" fillId="12" borderId="19" xfId="0" applyFont="1" applyFill="1" applyBorder="1" applyAlignment="1">
      <alignment horizontal="center" vertical="center" wrapText="1"/>
    </xf>
    <xf numFmtId="0" fontId="34" fillId="12" borderId="19" xfId="0" applyFont="1" applyFill="1" applyBorder="1" applyAlignment="1">
      <alignment horizontal="center" vertical="center" wrapText="1"/>
    </xf>
    <xf numFmtId="0" fontId="2" fillId="12" borderId="19" xfId="0" applyFont="1" applyFill="1" applyBorder="1" applyAlignment="1">
      <alignment horizontal="center" vertical="center" wrapText="1"/>
    </xf>
    <xf numFmtId="0" fontId="3" fillId="12" borderId="18" xfId="0" applyFont="1" applyFill="1" applyBorder="1" applyAlignment="1">
      <alignment horizontal="center" vertical="center" wrapText="1"/>
    </xf>
    <xf numFmtId="0" fontId="11" fillId="12" borderId="19" xfId="0" applyFont="1" applyFill="1" applyBorder="1" applyAlignment="1">
      <alignment horizontal="justify" vertical="center" wrapText="1"/>
    </xf>
    <xf numFmtId="0" fontId="3" fillId="12" borderId="19" xfId="0" applyFont="1" applyFill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23" fillId="12" borderId="2" xfId="0" applyFont="1" applyFill="1" applyBorder="1" applyAlignment="1">
      <alignment vertical="center" wrapText="1"/>
    </xf>
    <xf numFmtId="0" fontId="22" fillId="12" borderId="2" xfId="0" applyFont="1" applyFill="1" applyBorder="1" applyAlignment="1">
      <alignment vertical="center" wrapText="1"/>
    </xf>
    <xf numFmtId="0" fontId="2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4" fontId="26" fillId="14" borderId="2" xfId="0" applyNumberFormat="1" applyFont="1" applyFill="1" applyBorder="1" applyAlignment="1">
      <alignment horizontal="center" vertical="center"/>
    </xf>
    <xf numFmtId="4" fontId="27" fillId="14" borderId="2" xfId="0" applyNumberFormat="1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vertical="center" wrapText="1"/>
    </xf>
    <xf numFmtId="1" fontId="22" fillId="3" borderId="2" xfId="0" applyNumberFormat="1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2" fontId="23" fillId="3" borderId="2" xfId="0" applyNumberFormat="1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vertical="center" wrapText="1"/>
    </xf>
    <xf numFmtId="0" fontId="3" fillId="14" borderId="2" xfId="0" applyFont="1" applyFill="1" applyBorder="1" applyAlignment="1">
      <alignment horizontal="center" vertical="center" wrapText="1"/>
    </xf>
    <xf numFmtId="1" fontId="23" fillId="3" borderId="2" xfId="0" applyNumberFormat="1" applyFont="1" applyFill="1" applyBorder="1" applyAlignment="1">
      <alignment horizontal="center" vertical="center"/>
    </xf>
    <xf numFmtId="167" fontId="23" fillId="3" borderId="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164" fontId="13" fillId="0" borderId="5" xfId="0" applyNumberFormat="1" applyFont="1" applyBorder="1" applyAlignment="1">
      <alignment horizontal="right" vertical="center"/>
    </xf>
    <xf numFmtId="0" fontId="1" fillId="0" borderId="2" xfId="0" applyFont="1" applyBorder="1"/>
    <xf numFmtId="0" fontId="2" fillId="3" borderId="2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3" fontId="26" fillId="3" borderId="2" xfId="0" applyNumberFormat="1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167" fontId="27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6" fillId="6" borderId="2" xfId="0" applyFont="1" applyFill="1" applyBorder="1" applyAlignment="1">
      <alignment horizontal="center" vertical="center"/>
    </xf>
    <xf numFmtId="3" fontId="26" fillId="6" borderId="2" xfId="0" applyNumberFormat="1" applyFont="1" applyFill="1" applyBorder="1" applyAlignment="1">
      <alignment horizontal="center" vertical="center"/>
    </xf>
    <xf numFmtId="2" fontId="26" fillId="6" borderId="2" xfId="0" applyNumberFormat="1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 wrapText="1"/>
    </xf>
    <xf numFmtId="0" fontId="26" fillId="6" borderId="2" xfId="0" applyFont="1" applyFill="1" applyBorder="1" applyAlignment="1">
      <alignment horizontal="center" vertical="center" wrapText="1"/>
    </xf>
    <xf numFmtId="4" fontId="26" fillId="6" borderId="2" xfId="0" applyNumberFormat="1" applyFont="1" applyFill="1" applyBorder="1" applyAlignment="1">
      <alignment horizontal="center" vertical="center"/>
    </xf>
    <xf numFmtId="2" fontId="27" fillId="6" borderId="2" xfId="0" applyNumberFormat="1" applyFont="1" applyFill="1" applyBorder="1" applyAlignment="1">
      <alignment horizontal="center" vertical="center"/>
    </xf>
    <xf numFmtId="2" fontId="26" fillId="6" borderId="2" xfId="0" quotePrefix="1" applyNumberFormat="1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3" fontId="26" fillId="7" borderId="2" xfId="0" applyNumberFormat="1" applyFont="1" applyFill="1" applyBorder="1" applyAlignment="1">
      <alignment horizontal="center" vertical="center"/>
    </xf>
    <xf numFmtId="4" fontId="26" fillId="7" borderId="2" xfId="0" applyNumberFormat="1" applyFont="1" applyFill="1" applyBorder="1" applyAlignment="1">
      <alignment horizontal="center" vertical="center"/>
    </xf>
    <xf numFmtId="2" fontId="26" fillId="7" borderId="2" xfId="0" applyNumberFormat="1" applyFont="1" applyFill="1" applyBorder="1" applyAlignment="1">
      <alignment horizontal="center" vertical="center"/>
    </xf>
    <xf numFmtId="2" fontId="26" fillId="7" borderId="2" xfId="0" quotePrefix="1" applyNumberFormat="1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center" vertical="center" wrapText="1"/>
    </xf>
    <xf numFmtId="0" fontId="26" fillId="7" borderId="2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/>
    </xf>
    <xf numFmtId="3" fontId="26" fillId="10" borderId="2" xfId="0" applyNumberFormat="1" applyFont="1" applyFill="1" applyBorder="1" applyAlignment="1">
      <alignment horizontal="center" vertical="center"/>
    </xf>
    <xf numFmtId="4" fontId="26" fillId="10" borderId="2" xfId="0" applyNumberFormat="1" applyFont="1" applyFill="1" applyBorder="1" applyAlignment="1">
      <alignment horizontal="center" vertical="center"/>
    </xf>
    <xf numFmtId="2" fontId="26" fillId="10" borderId="2" xfId="0" applyNumberFormat="1" applyFont="1" applyFill="1" applyBorder="1" applyAlignment="1">
      <alignment horizontal="center" vertical="center"/>
    </xf>
    <xf numFmtId="2" fontId="26" fillId="10" borderId="2" xfId="0" quotePrefix="1" applyNumberFormat="1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/>
    </xf>
    <xf numFmtId="2" fontId="27" fillId="10" borderId="2" xfId="0" applyNumberFormat="1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3" fontId="26" fillId="9" borderId="2" xfId="0" applyNumberFormat="1" applyFont="1" applyFill="1" applyBorder="1" applyAlignment="1">
      <alignment horizontal="center" vertical="center"/>
    </xf>
    <xf numFmtId="167" fontId="27" fillId="9" borderId="2" xfId="0" applyNumberFormat="1" applyFont="1" applyFill="1" applyBorder="1" applyAlignment="1">
      <alignment horizontal="center" vertical="center"/>
    </xf>
    <xf numFmtId="2" fontId="26" fillId="9" borderId="2" xfId="0" applyNumberFormat="1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center" vertical="center" wrapText="1"/>
    </xf>
    <xf numFmtId="167" fontId="26" fillId="9" borderId="2" xfId="0" applyNumberFormat="1" applyFont="1" applyFill="1" applyBorder="1" applyAlignment="1">
      <alignment horizontal="center" vertical="center"/>
    </xf>
    <xf numFmtId="4" fontId="27" fillId="6" borderId="2" xfId="0" applyNumberFormat="1" applyFont="1" applyFill="1" applyBorder="1" applyAlignment="1">
      <alignment horizontal="center" vertical="center"/>
    </xf>
    <xf numFmtId="2" fontId="27" fillId="6" borderId="2" xfId="0" quotePrefix="1" applyNumberFormat="1" applyFont="1" applyFill="1" applyBorder="1" applyAlignment="1">
      <alignment horizontal="center" vertical="center"/>
    </xf>
    <xf numFmtId="4" fontId="27" fillId="7" borderId="2" xfId="0" applyNumberFormat="1" applyFont="1" applyFill="1" applyBorder="1" applyAlignment="1">
      <alignment horizontal="center" vertical="center"/>
    </xf>
    <xf numFmtId="2" fontId="27" fillId="7" borderId="2" xfId="0" applyNumberFormat="1" applyFont="1" applyFill="1" applyBorder="1" applyAlignment="1">
      <alignment horizontal="center" vertical="center"/>
    </xf>
    <xf numFmtId="2" fontId="27" fillId="7" borderId="2" xfId="0" quotePrefix="1" applyNumberFormat="1" applyFont="1" applyFill="1" applyBorder="1" applyAlignment="1">
      <alignment horizontal="center" vertical="center"/>
    </xf>
    <xf numFmtId="4" fontId="27" fillId="10" borderId="2" xfId="0" applyNumberFormat="1" applyFont="1" applyFill="1" applyBorder="1" applyAlignment="1">
      <alignment horizontal="center" vertical="center"/>
    </xf>
    <xf numFmtId="2" fontId="27" fillId="10" borderId="2" xfId="0" quotePrefix="1" applyNumberFormat="1" applyFont="1" applyFill="1" applyBorder="1" applyAlignment="1">
      <alignment horizontal="center" vertical="center"/>
    </xf>
    <xf numFmtId="2" fontId="27" fillId="9" borderId="2" xfId="0" applyNumberFormat="1" applyFont="1" applyFill="1" applyBorder="1" applyAlignment="1">
      <alignment horizontal="center" vertical="center"/>
    </xf>
    <xf numFmtId="0" fontId="26" fillId="12" borderId="2" xfId="0" applyFont="1" applyFill="1" applyBorder="1" applyAlignment="1">
      <alignment horizontal="center" vertical="center"/>
    </xf>
    <xf numFmtId="0" fontId="27" fillId="12" borderId="2" xfId="0" applyFont="1" applyFill="1" applyBorder="1" applyAlignment="1">
      <alignment horizontal="center" vertical="center"/>
    </xf>
    <xf numFmtId="0" fontId="27" fillId="12" borderId="2" xfId="0" applyFont="1" applyFill="1" applyBorder="1" applyAlignment="1">
      <alignment horizontal="center" vertical="center" wrapText="1"/>
    </xf>
    <xf numFmtId="0" fontId="26" fillId="12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4" fontId="26" fillId="12" borderId="2" xfId="0" applyNumberFormat="1" applyFont="1" applyFill="1" applyBorder="1" applyAlignment="1">
      <alignment horizontal="center" vertical="center"/>
    </xf>
    <xf numFmtId="3" fontId="26" fillId="12" borderId="2" xfId="0" applyNumberFormat="1" applyFont="1" applyFill="1" applyBorder="1" applyAlignment="1">
      <alignment horizontal="center" vertical="center"/>
    </xf>
    <xf numFmtId="4" fontId="27" fillId="12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vertical="center" wrapText="1"/>
    </xf>
    <xf numFmtId="1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15" borderId="2" xfId="0" applyFont="1" applyFill="1" applyBorder="1"/>
    <xf numFmtId="0" fontId="23" fillId="15" borderId="2" xfId="0" applyFont="1" applyFill="1" applyBorder="1" applyAlignment="1">
      <alignment horizontal="center" vertical="center"/>
    </xf>
    <xf numFmtId="0" fontId="23" fillId="15" borderId="2" xfId="0" applyFont="1" applyFill="1" applyBorder="1" applyAlignment="1">
      <alignment vertical="center"/>
    </xf>
    <xf numFmtId="0" fontId="22" fillId="15" borderId="2" xfId="0" applyFont="1" applyFill="1" applyBorder="1" applyAlignment="1">
      <alignment vertical="center"/>
    </xf>
    <xf numFmtId="0" fontId="22" fillId="15" borderId="2" xfId="0" applyFont="1" applyFill="1" applyBorder="1" applyAlignment="1">
      <alignment horizontal="center" vertical="center"/>
    </xf>
    <xf numFmtId="2" fontId="22" fillId="15" borderId="2" xfId="0" applyNumberFormat="1" applyFont="1" applyFill="1" applyBorder="1" applyAlignment="1">
      <alignment vertical="center"/>
    </xf>
    <xf numFmtId="2" fontId="22" fillId="15" borderId="2" xfId="0" applyNumberFormat="1" applyFont="1" applyFill="1" applyBorder="1" applyAlignment="1">
      <alignment horizontal="center" vertical="center"/>
    </xf>
    <xf numFmtId="0" fontId="22" fillId="15" borderId="2" xfId="0" applyFont="1" applyFill="1" applyBorder="1"/>
    <xf numFmtId="2" fontId="23" fillId="15" borderId="2" xfId="0" applyNumberFormat="1" applyFont="1" applyFill="1" applyBorder="1" applyAlignment="1">
      <alignment vertical="center"/>
    </xf>
    <xf numFmtId="2" fontId="23" fillId="15" borderId="2" xfId="0" applyNumberFormat="1" applyFont="1" applyFill="1" applyBorder="1" applyAlignment="1">
      <alignment horizontal="center" vertical="center"/>
    </xf>
    <xf numFmtId="1" fontId="22" fillId="15" borderId="2" xfId="0" quotePrefix="1" applyNumberFormat="1" applyFont="1" applyFill="1" applyBorder="1" applyAlignment="1">
      <alignment horizontal="center" vertical="center"/>
    </xf>
    <xf numFmtId="0" fontId="23" fillId="14" borderId="2" xfId="0" applyFont="1" applyFill="1" applyBorder="1" applyAlignment="1">
      <alignment horizontal="center" vertical="center" wrapText="1"/>
    </xf>
    <xf numFmtId="0" fontId="23" fillId="14" borderId="2" xfId="0" quotePrefix="1" applyFont="1" applyFill="1" applyBorder="1" applyAlignment="1">
      <alignment horizontal="center" vertical="center" wrapText="1"/>
    </xf>
    <xf numFmtId="0" fontId="23" fillId="14" borderId="2" xfId="0" applyFont="1" applyFill="1" applyBorder="1"/>
    <xf numFmtId="0" fontId="23" fillId="14" borderId="2" xfId="0" applyFont="1" applyFill="1" applyBorder="1" applyAlignment="1">
      <alignment horizontal="center" vertical="center"/>
    </xf>
    <xf numFmtId="2" fontId="23" fillId="14" borderId="2" xfId="0" applyNumberFormat="1" applyFont="1" applyFill="1" applyBorder="1" applyAlignment="1">
      <alignment horizontal="center" vertical="center"/>
    </xf>
    <xf numFmtId="0" fontId="23" fillId="14" borderId="2" xfId="0" applyFont="1" applyFill="1" applyBorder="1" applyAlignment="1">
      <alignment vertical="center"/>
    </xf>
    <xf numFmtId="0" fontId="22" fillId="14" borderId="2" xfId="0" applyFont="1" applyFill="1" applyBorder="1" applyAlignment="1">
      <alignment vertical="center"/>
    </xf>
    <xf numFmtId="0" fontId="22" fillId="14" borderId="2" xfId="0" applyFont="1" applyFill="1" applyBorder="1" applyAlignment="1">
      <alignment horizontal="center" vertical="center"/>
    </xf>
    <xf numFmtId="1" fontId="22" fillId="14" borderId="2" xfId="0" applyNumberFormat="1" applyFont="1" applyFill="1" applyBorder="1" applyAlignment="1">
      <alignment horizontal="center" vertical="center"/>
    </xf>
    <xf numFmtId="2" fontId="22" fillId="14" borderId="2" xfId="0" applyNumberFormat="1" applyFont="1" applyFill="1" applyBorder="1" applyAlignment="1">
      <alignment vertical="center"/>
    </xf>
    <xf numFmtId="2" fontId="22" fillId="14" borderId="2" xfId="0" applyNumberFormat="1" applyFont="1" applyFill="1" applyBorder="1" applyAlignment="1">
      <alignment horizontal="center" vertical="center"/>
    </xf>
    <xf numFmtId="0" fontId="22" fillId="14" borderId="2" xfId="0" applyFont="1" applyFill="1" applyBorder="1"/>
    <xf numFmtId="2" fontId="23" fillId="14" borderId="2" xfId="0" applyNumberFormat="1" applyFont="1" applyFill="1" applyBorder="1" applyAlignment="1">
      <alignment vertical="center"/>
    </xf>
    <xf numFmtId="1" fontId="23" fillId="14" borderId="2" xfId="0" applyNumberFormat="1" applyFont="1" applyFill="1" applyBorder="1" applyAlignment="1">
      <alignment horizontal="center" vertical="center"/>
    </xf>
    <xf numFmtId="168" fontId="23" fillId="14" borderId="2" xfId="0" applyNumberFormat="1" applyFont="1" applyFill="1" applyBorder="1" applyAlignment="1">
      <alignment horizontal="center" vertical="center"/>
    </xf>
    <xf numFmtId="1" fontId="22" fillId="15" borderId="2" xfId="0" applyNumberFormat="1" applyFont="1" applyFill="1" applyBorder="1" applyAlignment="1">
      <alignment horizontal="center" vertical="center"/>
    </xf>
    <xf numFmtId="1" fontId="23" fillId="15" borderId="2" xfId="0" applyNumberFormat="1" applyFont="1" applyFill="1" applyBorder="1" applyAlignment="1">
      <alignment horizontal="center" vertical="center"/>
    </xf>
    <xf numFmtId="1" fontId="23" fillId="0" borderId="2" xfId="0" applyNumberFormat="1" applyFont="1" applyBorder="1" applyAlignment="1">
      <alignment horizontal="center" vertical="center"/>
    </xf>
    <xf numFmtId="0" fontId="23" fillId="6" borderId="2" xfId="0" applyFont="1" applyFill="1" applyBorder="1"/>
    <xf numFmtId="0" fontId="23" fillId="6" borderId="2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vertical="center"/>
    </xf>
    <xf numFmtId="0" fontId="22" fillId="6" borderId="2" xfId="0" applyFont="1" applyFill="1" applyBorder="1" applyAlignment="1">
      <alignment vertical="center"/>
    </xf>
    <xf numFmtId="0" fontId="22" fillId="6" borderId="2" xfId="0" applyFont="1" applyFill="1" applyBorder="1" applyAlignment="1">
      <alignment horizontal="center" vertical="center"/>
    </xf>
    <xf numFmtId="2" fontId="22" fillId="6" borderId="2" xfId="0" applyNumberFormat="1" applyFont="1" applyFill="1" applyBorder="1" applyAlignment="1">
      <alignment vertical="center"/>
    </xf>
    <xf numFmtId="2" fontId="22" fillId="6" borderId="2" xfId="0" applyNumberFormat="1" applyFont="1" applyFill="1" applyBorder="1" applyAlignment="1">
      <alignment horizontal="center" vertical="center"/>
    </xf>
    <xf numFmtId="0" fontId="22" fillId="6" borderId="2" xfId="0" applyFont="1" applyFill="1" applyBorder="1"/>
    <xf numFmtId="2" fontId="23" fillId="6" borderId="2" xfId="0" applyNumberFormat="1" applyFont="1" applyFill="1" applyBorder="1" applyAlignment="1">
      <alignment vertical="center"/>
    </xf>
    <xf numFmtId="2" fontId="23" fillId="6" borderId="2" xfId="0" applyNumberFormat="1" applyFont="1" applyFill="1" applyBorder="1" applyAlignment="1">
      <alignment horizontal="center" vertical="center"/>
    </xf>
    <xf numFmtId="1" fontId="22" fillId="6" borderId="2" xfId="0" quotePrefix="1" applyNumberFormat="1" applyFont="1" applyFill="1" applyBorder="1" applyAlignment="1">
      <alignment horizontal="center" vertical="center"/>
    </xf>
    <xf numFmtId="0" fontId="23" fillId="13" borderId="2" xfId="0" applyFont="1" applyFill="1" applyBorder="1"/>
    <xf numFmtId="0" fontId="23" fillId="13" borderId="2" xfId="0" applyFont="1" applyFill="1" applyBorder="1" applyAlignment="1">
      <alignment horizontal="center" vertical="center"/>
    </xf>
    <xf numFmtId="169" fontId="23" fillId="6" borderId="2" xfId="0" applyNumberFormat="1" applyFont="1" applyFill="1" applyBorder="1" applyAlignment="1">
      <alignment horizontal="center" vertical="center"/>
    </xf>
    <xf numFmtId="1" fontId="23" fillId="6" borderId="2" xfId="0" quotePrefix="1" applyNumberFormat="1" applyFont="1" applyFill="1" applyBorder="1" applyAlignment="1">
      <alignment horizontal="center" vertical="center"/>
    </xf>
    <xf numFmtId="2" fontId="23" fillId="6" borderId="2" xfId="0" quotePrefix="1" applyNumberFormat="1" applyFont="1" applyFill="1" applyBorder="1" applyAlignment="1">
      <alignment horizontal="center" vertical="center"/>
    </xf>
    <xf numFmtId="0" fontId="23" fillId="13" borderId="2" xfId="0" applyFont="1" applyFill="1" applyBorder="1" applyAlignment="1">
      <alignment vertical="center"/>
    </xf>
    <xf numFmtId="0" fontId="22" fillId="13" borderId="2" xfId="0" applyFont="1" applyFill="1" applyBorder="1" applyAlignment="1">
      <alignment vertical="center"/>
    </xf>
    <xf numFmtId="0" fontId="22" fillId="13" borderId="2" xfId="0" applyFont="1" applyFill="1" applyBorder="1" applyAlignment="1">
      <alignment horizontal="center" vertical="center"/>
    </xf>
    <xf numFmtId="2" fontId="22" fillId="13" borderId="2" xfId="0" applyNumberFormat="1" applyFont="1" applyFill="1" applyBorder="1" applyAlignment="1">
      <alignment vertical="center"/>
    </xf>
    <xf numFmtId="2" fontId="22" fillId="13" borderId="2" xfId="0" applyNumberFormat="1" applyFont="1" applyFill="1" applyBorder="1" applyAlignment="1">
      <alignment horizontal="center" vertical="center"/>
    </xf>
    <xf numFmtId="0" fontId="22" fillId="13" borderId="2" xfId="0" applyFont="1" applyFill="1" applyBorder="1"/>
    <xf numFmtId="2" fontId="23" fillId="13" borderId="2" xfId="0" applyNumberFormat="1" applyFont="1" applyFill="1" applyBorder="1" applyAlignment="1">
      <alignment vertical="center"/>
    </xf>
    <xf numFmtId="2" fontId="23" fillId="13" borderId="2" xfId="0" applyNumberFormat="1" applyFont="1" applyFill="1" applyBorder="1" applyAlignment="1">
      <alignment horizontal="center" vertical="center"/>
    </xf>
    <xf numFmtId="0" fontId="22" fillId="13" borderId="0" xfId="0" applyFont="1" applyFill="1"/>
    <xf numFmtId="167" fontId="23" fillId="13" borderId="2" xfId="0" applyNumberFormat="1" applyFont="1" applyFill="1" applyBorder="1" applyAlignment="1">
      <alignment horizontal="center" vertical="center"/>
    </xf>
    <xf numFmtId="1" fontId="22" fillId="13" borderId="2" xfId="0" quotePrefix="1" applyNumberFormat="1" applyFont="1" applyFill="1" applyBorder="1" applyAlignment="1">
      <alignment horizontal="center" vertical="center"/>
    </xf>
    <xf numFmtId="1" fontId="22" fillId="13" borderId="2" xfId="0" applyNumberFormat="1" applyFont="1" applyFill="1" applyBorder="1" applyAlignment="1">
      <alignment horizontal="center" vertical="center"/>
    </xf>
    <xf numFmtId="169" fontId="23" fillId="13" borderId="2" xfId="0" applyNumberFormat="1" applyFont="1" applyFill="1" applyBorder="1" applyAlignment="1">
      <alignment horizontal="center" vertical="center"/>
    </xf>
    <xf numFmtId="1" fontId="23" fillId="13" borderId="2" xfId="0" applyNumberFormat="1" applyFont="1" applyFill="1" applyBorder="1" applyAlignment="1">
      <alignment horizontal="center" vertical="center"/>
    </xf>
    <xf numFmtId="1" fontId="23" fillId="13" borderId="2" xfId="0" quotePrefix="1" applyNumberFormat="1" applyFont="1" applyFill="1" applyBorder="1" applyAlignment="1">
      <alignment horizontal="center" vertical="center"/>
    </xf>
    <xf numFmtId="2" fontId="23" fillId="13" borderId="2" xfId="0" quotePrefix="1" applyNumberFormat="1" applyFont="1" applyFill="1" applyBorder="1" applyAlignment="1">
      <alignment horizontal="center" vertical="center"/>
    </xf>
    <xf numFmtId="0" fontId="0" fillId="12" borderId="2" xfId="0" applyFill="1" applyBorder="1"/>
    <xf numFmtId="4" fontId="0" fillId="12" borderId="2" xfId="0" applyNumberFormat="1" applyFill="1" applyBorder="1"/>
    <xf numFmtId="2" fontId="0" fillId="12" borderId="2" xfId="0" applyNumberFormat="1" applyFill="1" applyBorder="1"/>
    <xf numFmtId="1" fontId="0" fillId="12" borderId="2" xfId="0" applyNumberFormat="1" applyFill="1" applyBorder="1"/>
    <xf numFmtId="0" fontId="32" fillId="12" borderId="2" xfId="0" applyFont="1" applyFill="1" applyBorder="1"/>
    <xf numFmtId="166" fontId="28" fillId="12" borderId="2" xfId="0" applyNumberFormat="1" applyFont="1" applyFill="1" applyBorder="1" applyAlignment="1">
      <alignment vertical="center" wrapText="1"/>
    </xf>
    <xf numFmtId="0" fontId="25" fillId="12" borderId="2" xfId="0" applyFont="1" applyFill="1" applyBorder="1" applyAlignment="1">
      <alignment vertical="center" wrapText="1"/>
    </xf>
    <xf numFmtId="0" fontId="28" fillId="12" borderId="2" xfId="0" applyFont="1" applyFill="1" applyBorder="1" applyAlignment="1">
      <alignment vertical="center" wrapText="1"/>
    </xf>
    <xf numFmtId="168" fontId="22" fillId="14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 wrapText="1"/>
    </xf>
    <xf numFmtId="1" fontId="27" fillId="0" borderId="2" xfId="0" applyNumberFormat="1" applyFont="1" applyBorder="1" applyAlignment="1">
      <alignment horizontal="center" vertical="center"/>
    </xf>
    <xf numFmtId="1" fontId="27" fillId="6" borderId="2" xfId="0" applyNumberFormat="1" applyFont="1" applyFill="1" applyBorder="1" applyAlignment="1">
      <alignment horizontal="center" vertical="center"/>
    </xf>
    <xf numFmtId="1" fontId="27" fillId="7" borderId="2" xfId="0" applyNumberFormat="1" applyFont="1" applyFill="1" applyBorder="1" applyAlignment="1">
      <alignment horizontal="center" vertical="center"/>
    </xf>
    <xf numFmtId="1" fontId="27" fillId="10" borderId="2" xfId="0" applyNumberFormat="1" applyFont="1" applyFill="1" applyBorder="1" applyAlignment="1">
      <alignment horizontal="center" vertical="center"/>
    </xf>
    <xf numFmtId="1" fontId="27" fillId="9" borderId="2" xfId="0" applyNumberFormat="1" applyFont="1" applyFill="1" applyBorder="1" applyAlignment="1">
      <alignment horizontal="center" vertical="center"/>
    </xf>
    <xf numFmtId="0" fontId="0" fillId="9" borderId="0" xfId="0" applyFill="1"/>
    <xf numFmtId="0" fontId="21" fillId="0" borderId="2" xfId="0" applyFont="1" applyBorder="1"/>
    <xf numFmtId="0" fontId="29" fillId="0" borderId="2" xfId="0" applyFont="1" applyBorder="1"/>
    <xf numFmtId="168" fontId="22" fillId="12" borderId="2" xfId="0" applyNumberFormat="1" applyFont="1" applyFill="1" applyBorder="1" applyAlignment="1">
      <alignment horizontal="center" vertical="center"/>
    </xf>
    <xf numFmtId="2" fontId="23" fillId="12" borderId="2" xfId="0" quotePrefix="1" applyNumberFormat="1" applyFont="1" applyFill="1" applyBorder="1" applyAlignment="1">
      <alignment horizontal="center" vertical="center"/>
    </xf>
    <xf numFmtId="1" fontId="23" fillId="12" borderId="2" xfId="0" applyNumberFormat="1" applyFont="1" applyFill="1" applyBorder="1" applyAlignment="1">
      <alignment horizontal="center" vertical="center"/>
    </xf>
    <xf numFmtId="0" fontId="22" fillId="15" borderId="2" xfId="0" quotePrefix="1" applyFont="1" applyFill="1" applyBorder="1" applyAlignment="1">
      <alignment horizontal="center" vertical="center"/>
    </xf>
    <xf numFmtId="0" fontId="22" fillId="6" borderId="2" xfId="0" quotePrefix="1" applyFont="1" applyFill="1" applyBorder="1" applyAlignment="1">
      <alignment horizontal="center" vertical="center"/>
    </xf>
    <xf numFmtId="0" fontId="22" fillId="13" borderId="2" xfId="0" quotePrefix="1" applyFont="1" applyFill="1" applyBorder="1" applyAlignment="1">
      <alignment horizontal="center" vertical="center"/>
    </xf>
    <xf numFmtId="167" fontId="22" fillId="12" borderId="2" xfId="0" applyNumberFormat="1" applyFont="1" applyFill="1" applyBorder="1" applyAlignment="1">
      <alignment horizontal="center" vertical="center"/>
    </xf>
    <xf numFmtId="1" fontId="22" fillId="14" borderId="2" xfId="0" quotePrefix="1" applyNumberFormat="1" applyFont="1" applyFill="1" applyBorder="1" applyAlignment="1">
      <alignment horizontal="center" vertical="center"/>
    </xf>
    <xf numFmtId="2" fontId="23" fillId="14" borderId="2" xfId="0" quotePrefix="1" applyNumberFormat="1" applyFont="1" applyFill="1" applyBorder="1" applyAlignment="1">
      <alignment horizontal="center" vertical="center"/>
    </xf>
    <xf numFmtId="165" fontId="22" fillId="12" borderId="2" xfId="0" applyNumberFormat="1" applyFont="1" applyFill="1" applyBorder="1" applyAlignment="1">
      <alignment vertical="center" wrapText="1"/>
    </xf>
    <xf numFmtId="165" fontId="22" fillId="12" borderId="2" xfId="0" applyNumberFormat="1" applyFont="1" applyFill="1" applyBorder="1"/>
    <xf numFmtId="0" fontId="2" fillId="0" borderId="0" xfId="0" applyFont="1"/>
    <xf numFmtId="0" fontId="3" fillId="0" borderId="0" xfId="0" applyFont="1" applyAlignment="1">
      <alignment vertical="center" wrapText="1"/>
    </xf>
    <xf numFmtId="0" fontId="30" fillId="10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29" fillId="10" borderId="2" xfId="0" applyFont="1" applyFill="1" applyBorder="1" applyAlignment="1">
      <alignment vertical="center" wrapText="1"/>
    </xf>
    <xf numFmtId="0" fontId="29" fillId="0" borderId="2" xfId="0" applyFont="1" applyBorder="1" applyAlignment="1">
      <alignment vertical="center" wrapText="1"/>
    </xf>
    <xf numFmtId="0" fontId="30" fillId="0" borderId="2" xfId="0" applyFont="1" applyBorder="1" applyAlignment="1">
      <alignment vertical="center" wrapText="1"/>
    </xf>
    <xf numFmtId="0" fontId="32" fillId="14" borderId="2" xfId="0" applyFont="1" applyFill="1" applyBorder="1" applyAlignment="1">
      <alignment horizontal="center" vertical="center"/>
    </xf>
    <xf numFmtId="0" fontId="32" fillId="14" borderId="0" xfId="0" applyFont="1" applyFill="1" applyAlignment="1">
      <alignment horizontal="center" vertical="center"/>
    </xf>
    <xf numFmtId="0" fontId="33" fillId="14" borderId="2" xfId="0" applyFont="1" applyFill="1" applyBorder="1" applyAlignment="1">
      <alignment horizontal="center" vertical="center"/>
    </xf>
    <xf numFmtId="0" fontId="33" fillId="14" borderId="0" xfId="0" applyFont="1" applyFill="1" applyAlignment="1">
      <alignment horizontal="center" vertical="center"/>
    </xf>
    <xf numFmtId="0" fontId="32" fillId="14" borderId="15" xfId="0" applyFont="1" applyFill="1" applyBorder="1" applyAlignment="1">
      <alignment horizontal="center" vertical="center"/>
    </xf>
    <xf numFmtId="0" fontId="33" fillId="14" borderId="14" xfId="0" applyFont="1" applyFill="1" applyBorder="1" applyAlignment="1">
      <alignment horizontal="center" vertical="center"/>
    </xf>
    <xf numFmtId="0" fontId="32" fillId="14" borderId="2" xfId="0" applyFont="1" applyFill="1" applyBorder="1" applyAlignment="1">
      <alignment vertical="center"/>
    </xf>
    <xf numFmtId="0" fontId="32" fillId="14" borderId="2" xfId="0" applyFont="1" applyFill="1" applyBorder="1" applyAlignment="1">
      <alignment horizontal="center"/>
    </xf>
    <xf numFmtId="0" fontId="0" fillId="14" borderId="2" xfId="0" applyFill="1" applyBorder="1"/>
    <xf numFmtId="0" fontId="36" fillId="14" borderId="2" xfId="0" quotePrefix="1" applyFont="1" applyFill="1" applyBorder="1" applyAlignment="1">
      <alignment vertical="center"/>
    </xf>
    <xf numFmtId="0" fontId="32" fillId="14" borderId="14" xfId="0" applyFont="1" applyFill="1" applyBorder="1" applyAlignment="1">
      <alignment horizontal="center" vertical="center"/>
    </xf>
    <xf numFmtId="4" fontId="10" fillId="2" borderId="0" xfId="0" applyNumberFormat="1" applyFont="1" applyFill="1" applyAlignment="1">
      <alignment horizontal="center" vertical="center"/>
    </xf>
    <xf numFmtId="4" fontId="10" fillId="2" borderId="0" xfId="0" applyNumberFormat="1" applyFont="1" applyFill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4" fontId="10" fillId="2" borderId="0" xfId="0" quotePrefix="1" applyNumberFormat="1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/>
    </xf>
    <xf numFmtId="4" fontId="10" fillId="2" borderId="0" xfId="0" applyNumberFormat="1" applyFont="1" applyFill="1" applyAlignment="1">
      <alignment vertical="center" wrapText="1"/>
    </xf>
    <xf numFmtId="164" fontId="10" fillId="3" borderId="0" xfId="0" applyNumberFormat="1" applyFont="1" applyFill="1" applyAlignment="1">
      <alignment horizontal="center" vertical="center"/>
    </xf>
    <xf numFmtId="165" fontId="10" fillId="7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 wrapText="1"/>
    </xf>
    <xf numFmtId="165" fontId="10" fillId="7" borderId="0" xfId="0" applyNumberFormat="1" applyFont="1" applyFill="1" applyAlignment="1">
      <alignment horizontal="center" vertical="center" wrapText="1"/>
    </xf>
    <xf numFmtId="164" fontId="10" fillId="7" borderId="0" xfId="0" applyNumberFormat="1" applyFont="1" applyFill="1" applyAlignment="1">
      <alignment horizontal="center" vertical="center" wrapText="1"/>
    </xf>
    <xf numFmtId="4" fontId="4" fillId="0" borderId="0" xfId="0" applyNumberFormat="1" applyFont="1" applyAlignment="1">
      <alignment horizontal="right"/>
    </xf>
    <xf numFmtId="4" fontId="10" fillId="3" borderId="0" xfId="0" applyNumberFormat="1" applyFont="1" applyFill="1" applyAlignment="1">
      <alignment horizontal="center" vertical="center"/>
    </xf>
    <xf numFmtId="4" fontId="10" fillId="7" borderId="0" xfId="0" applyNumberFormat="1" applyFont="1" applyFill="1" applyAlignment="1">
      <alignment horizontal="center" vertical="center"/>
    </xf>
    <xf numFmtId="4" fontId="4" fillId="2" borderId="0" xfId="0" applyNumberFormat="1" applyFont="1" applyFill="1" applyAlignment="1">
      <alignment vertical="center" wrapText="1"/>
    </xf>
    <xf numFmtId="4" fontId="4" fillId="3" borderId="0" xfId="0" applyNumberFormat="1" applyFont="1" applyFill="1" applyAlignment="1">
      <alignment horizontal="center" vertical="center"/>
    </xf>
    <xf numFmtId="4" fontId="24" fillId="8" borderId="0" xfId="0" applyNumberFormat="1" applyFont="1" applyFill="1" applyAlignment="1">
      <alignment horizontal="center" vertical="center"/>
    </xf>
    <xf numFmtId="4" fontId="10" fillId="8" borderId="0" xfId="0" applyNumberFormat="1" applyFont="1" applyFill="1" applyAlignment="1">
      <alignment horizontal="center" vertical="center"/>
    </xf>
    <xf numFmtId="4" fontId="4" fillId="8" borderId="0" xfId="0" applyNumberFormat="1" applyFont="1" applyFill="1" applyAlignment="1">
      <alignment horizontal="center" vertical="center"/>
    </xf>
    <xf numFmtId="165" fontId="4" fillId="7" borderId="0" xfId="0" applyNumberFormat="1" applyFont="1" applyFill="1" applyAlignment="1">
      <alignment horizontal="center" vertical="center"/>
    </xf>
    <xf numFmtId="4" fontId="4" fillId="7" borderId="0" xfId="0" applyNumberFormat="1" applyFont="1" applyFill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4" fontId="10" fillId="9" borderId="0" xfId="0" applyNumberFormat="1" applyFont="1" applyFill="1" applyAlignment="1">
      <alignment horizontal="center" vertical="center"/>
    </xf>
    <xf numFmtId="4" fontId="15" fillId="0" borderId="0" xfId="0" applyNumberFormat="1" applyFont="1"/>
    <xf numFmtId="0" fontId="4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2" fillId="12" borderId="2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left"/>
    </xf>
    <xf numFmtId="0" fontId="2" fillId="14" borderId="2" xfId="0" applyFont="1" applyFill="1" applyBorder="1" applyAlignment="1">
      <alignment horizontal="center" vertical="center" wrapText="1"/>
    </xf>
    <xf numFmtId="0" fontId="2" fillId="12" borderId="17" xfId="0" applyFont="1" applyFill="1" applyBorder="1" applyAlignment="1">
      <alignment horizontal="center" vertical="center" wrapText="1"/>
    </xf>
    <xf numFmtId="0" fontId="2" fillId="12" borderId="18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2" fillId="12" borderId="14" xfId="0" applyFont="1" applyFill="1" applyBorder="1" applyAlignment="1">
      <alignment horizontal="center" vertical="center"/>
    </xf>
    <xf numFmtId="0" fontId="22" fillId="12" borderId="15" xfId="0" applyFont="1" applyFill="1" applyBorder="1" applyAlignment="1">
      <alignment horizontal="center" vertical="center"/>
    </xf>
    <xf numFmtId="0" fontId="22" fillId="12" borderId="16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/>
    </xf>
    <xf numFmtId="0" fontId="22" fillId="12" borderId="14" xfId="0" quotePrefix="1" applyFont="1" applyFill="1" applyBorder="1" applyAlignment="1">
      <alignment horizontal="center" vertical="center"/>
    </xf>
    <xf numFmtId="0" fontId="22" fillId="12" borderId="15" xfId="0" quotePrefix="1" applyFont="1" applyFill="1" applyBorder="1" applyAlignment="1">
      <alignment horizontal="center" vertical="center"/>
    </xf>
    <xf numFmtId="0" fontId="22" fillId="12" borderId="16" xfId="0" quotePrefix="1" applyFont="1" applyFill="1" applyBorder="1" applyAlignment="1">
      <alignment horizontal="center" vertical="center"/>
    </xf>
    <xf numFmtId="0" fontId="32" fillId="11" borderId="3" xfId="0" applyFont="1" applyFill="1" applyBorder="1" applyAlignment="1">
      <alignment horizontal="center"/>
    </xf>
    <xf numFmtId="0" fontId="32" fillId="11" borderId="11" xfId="0" applyFont="1" applyFill="1" applyBorder="1" applyAlignment="1">
      <alignment horizontal="center"/>
    </xf>
    <xf numFmtId="0" fontId="32" fillId="11" borderId="5" xfId="0" applyFont="1" applyFill="1" applyBorder="1" applyAlignment="1">
      <alignment horizontal="center"/>
    </xf>
    <xf numFmtId="0" fontId="32" fillId="11" borderId="14" xfId="0" applyFont="1" applyFill="1" applyBorder="1" applyAlignment="1">
      <alignment horizontal="center" vertical="center"/>
    </xf>
    <xf numFmtId="0" fontId="32" fillId="11" borderId="15" xfId="0" applyFont="1" applyFill="1" applyBorder="1" applyAlignment="1">
      <alignment horizontal="center" vertical="center"/>
    </xf>
    <xf numFmtId="0" fontId="32" fillId="11" borderId="16" xfId="0" applyFont="1" applyFill="1" applyBorder="1" applyAlignment="1">
      <alignment horizontal="center" vertical="center"/>
    </xf>
    <xf numFmtId="0" fontId="32" fillId="14" borderId="2" xfId="0" applyFont="1" applyFill="1" applyBorder="1" applyAlignment="1">
      <alignment horizontal="center" vertical="center"/>
    </xf>
    <xf numFmtId="0" fontId="3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/>
    </xf>
    <xf numFmtId="4" fontId="10" fillId="2" borderId="0" xfId="0" applyNumberFormat="1" applyFont="1" applyFill="1" applyAlignment="1">
      <alignment horizontal="center" vertical="center" wrapText="1"/>
    </xf>
    <xf numFmtId="0" fontId="26" fillId="12" borderId="2" xfId="0" applyFont="1" applyFill="1" applyBorder="1" applyAlignment="1">
      <alignment horizontal="center" vertical="center"/>
    </xf>
    <xf numFmtId="4" fontId="19" fillId="0" borderId="0" xfId="0" applyNumberFormat="1" applyFont="1" applyAlignment="1">
      <alignment horizontal="center" vertical="center" wrapText="1"/>
    </xf>
    <xf numFmtId="4" fontId="10" fillId="2" borderId="0" xfId="0" applyNumberFormat="1" applyFont="1" applyFill="1" applyAlignment="1">
      <alignment horizontal="left" vertical="center" wrapText="1"/>
    </xf>
    <xf numFmtId="4" fontId="10" fillId="2" borderId="0" xfId="0" applyNumberFormat="1" applyFont="1" applyFill="1" applyAlignment="1">
      <alignment horizontal="center" vertical="center"/>
    </xf>
    <xf numFmtId="4" fontId="17" fillId="2" borderId="3" xfId="0" applyNumberFormat="1" applyFont="1" applyFill="1" applyBorder="1" applyAlignment="1">
      <alignment horizontal="center" vertical="center"/>
    </xf>
    <xf numFmtId="4" fontId="17" fillId="2" borderId="11" xfId="0" applyNumberFormat="1" applyFont="1" applyFill="1" applyBorder="1" applyAlignment="1">
      <alignment horizontal="center" vertical="center"/>
    </xf>
    <xf numFmtId="4" fontId="17" fillId="2" borderId="5" xfId="0" applyNumberFormat="1" applyFont="1" applyFill="1" applyBorder="1" applyAlignment="1">
      <alignment horizontal="center" vertical="center"/>
    </xf>
    <xf numFmtId="4" fontId="17" fillId="2" borderId="2" xfId="0" applyNumberFormat="1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/>
    </xf>
    <xf numFmtId="0" fontId="26" fillId="12" borderId="2" xfId="0" applyFont="1" applyFill="1" applyBorder="1" applyAlignment="1">
      <alignment horizontal="center" vertical="center" wrapText="1"/>
    </xf>
    <xf numFmtId="0" fontId="23" fillId="14" borderId="14" xfId="0" applyFont="1" applyFill="1" applyBorder="1" applyAlignment="1">
      <alignment horizontal="center" vertical="center" wrapText="1"/>
    </xf>
    <xf numFmtId="0" fontId="23" fillId="14" borderId="15" xfId="0" applyFont="1" applyFill="1" applyBorder="1" applyAlignment="1">
      <alignment horizontal="center" vertical="center" wrapText="1"/>
    </xf>
    <xf numFmtId="0" fontId="23" fillId="14" borderId="16" xfId="0" applyFont="1" applyFill="1" applyBorder="1" applyAlignment="1">
      <alignment horizontal="center" vertical="center" wrapText="1"/>
    </xf>
    <xf numFmtId="0" fontId="23" fillId="14" borderId="3" xfId="0" applyFont="1" applyFill="1" applyBorder="1" applyAlignment="1">
      <alignment horizontal="center" vertical="center" wrapText="1"/>
    </xf>
    <xf numFmtId="0" fontId="23" fillId="14" borderId="11" xfId="0" applyFont="1" applyFill="1" applyBorder="1" applyAlignment="1">
      <alignment horizontal="center" vertical="center" wrapText="1"/>
    </xf>
    <xf numFmtId="0" fontId="23" fillId="14" borderId="5" xfId="0" applyFont="1" applyFill="1" applyBorder="1" applyAlignment="1">
      <alignment horizontal="center" vertical="center" wrapText="1"/>
    </xf>
    <xf numFmtId="0" fontId="23" fillId="14" borderId="2" xfId="0" applyFont="1" applyFill="1" applyBorder="1" applyAlignment="1">
      <alignment horizontal="center" vertical="center" wrapText="1"/>
    </xf>
    <xf numFmtId="0" fontId="23" fillId="14" borderId="9" xfId="0" applyFont="1" applyFill="1" applyBorder="1" applyAlignment="1">
      <alignment horizontal="center" vertical="center" wrapText="1"/>
    </xf>
    <xf numFmtId="0" fontId="23" fillId="14" borderId="12" xfId="0" applyFont="1" applyFill="1" applyBorder="1" applyAlignment="1">
      <alignment horizontal="center" vertical="center" wrapText="1"/>
    </xf>
    <xf numFmtId="0" fontId="23" fillId="14" borderId="10" xfId="0" applyFont="1" applyFill="1" applyBorder="1" applyAlignment="1">
      <alignment horizontal="center" vertical="center" wrapText="1"/>
    </xf>
    <xf numFmtId="0" fontId="23" fillId="14" borderId="8" xfId="0" applyFont="1" applyFill="1" applyBorder="1" applyAlignment="1">
      <alignment horizontal="center" vertical="center" wrapText="1"/>
    </xf>
    <xf numFmtId="0" fontId="23" fillId="14" borderId="21" xfId="0" applyFont="1" applyFill="1" applyBorder="1" applyAlignment="1">
      <alignment horizontal="center" vertical="center" wrapText="1"/>
    </xf>
    <xf numFmtId="0" fontId="23" fillId="14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3" fillId="14" borderId="14" xfId="0" quotePrefix="1" applyFont="1" applyFill="1" applyBorder="1" applyAlignment="1">
      <alignment horizontal="center" vertical="center" wrapText="1"/>
    </xf>
    <xf numFmtId="0" fontId="23" fillId="14" borderId="15" xfId="0" quotePrefix="1" applyFont="1" applyFill="1" applyBorder="1" applyAlignment="1">
      <alignment horizontal="center" vertical="center" wrapText="1"/>
    </xf>
    <xf numFmtId="0" fontId="23" fillId="14" borderId="16" xfId="0" quotePrefix="1" applyFont="1" applyFill="1" applyBorder="1" applyAlignment="1">
      <alignment horizontal="center" vertical="center" wrapText="1"/>
    </xf>
    <xf numFmtId="0" fontId="23" fillId="14" borderId="13" xfId="0" applyFont="1" applyFill="1" applyBorder="1" applyAlignment="1">
      <alignment horizontal="center" vertical="center" wrapText="1"/>
    </xf>
    <xf numFmtId="0" fontId="23" fillId="14" borderId="20" xfId="0" applyFont="1" applyFill="1" applyBorder="1" applyAlignment="1">
      <alignment horizontal="center" vertical="center" wrapText="1"/>
    </xf>
    <xf numFmtId="0" fontId="23" fillId="10" borderId="9" xfId="0" applyFont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 vertical="center" wrapText="1"/>
    </xf>
    <xf numFmtId="0" fontId="23" fillId="10" borderId="10" xfId="0" applyFont="1" applyFill="1" applyBorder="1" applyAlignment="1">
      <alignment horizontal="center" vertical="center" wrapText="1"/>
    </xf>
    <xf numFmtId="0" fontId="23" fillId="10" borderId="14" xfId="0" applyFont="1" applyFill="1" applyBorder="1" applyAlignment="1">
      <alignment horizontal="center" vertical="center" wrapText="1"/>
    </xf>
    <xf numFmtId="0" fontId="23" fillId="10" borderId="16" xfId="0" applyFont="1" applyFill="1" applyBorder="1" applyAlignment="1">
      <alignment horizontal="center" vertical="center" wrapText="1"/>
    </xf>
    <xf numFmtId="0" fontId="23" fillId="12" borderId="14" xfId="0" applyFont="1" applyFill="1" applyBorder="1" applyAlignment="1">
      <alignment horizontal="center" vertical="center" wrapText="1"/>
    </xf>
    <xf numFmtId="0" fontId="23" fillId="12" borderId="15" xfId="0" applyFont="1" applyFill="1" applyBorder="1" applyAlignment="1">
      <alignment horizontal="center" vertical="center" wrapText="1"/>
    </xf>
    <xf numFmtId="0" fontId="23" fillId="12" borderId="16" xfId="0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23" fillId="12" borderId="11" xfId="0" applyFont="1" applyFill="1" applyBorder="1" applyAlignment="1">
      <alignment horizontal="center" vertical="center" wrapText="1"/>
    </xf>
    <xf numFmtId="0" fontId="23" fillId="12" borderId="5" xfId="0" applyFont="1" applyFill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22" fillId="12" borderId="2" xfId="0" applyFont="1" applyFill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textRotation="90" wrapText="1"/>
    </xf>
    <xf numFmtId="0" fontId="22" fillId="12" borderId="14" xfId="0" applyFont="1" applyFill="1" applyBorder="1" applyAlignment="1">
      <alignment horizontal="center"/>
    </xf>
    <xf numFmtId="0" fontId="22" fillId="12" borderId="15" xfId="0" applyFont="1" applyFill="1" applyBorder="1" applyAlignment="1">
      <alignment horizontal="center"/>
    </xf>
    <xf numFmtId="0" fontId="22" fillId="12" borderId="16" xfId="0" applyFont="1" applyFill="1" applyBorder="1" applyAlignment="1">
      <alignment horizontal="center"/>
    </xf>
    <xf numFmtId="0" fontId="22" fillId="12" borderId="14" xfId="0" applyFont="1" applyFill="1" applyBorder="1" applyAlignment="1">
      <alignment horizontal="center" vertical="center" wrapText="1"/>
    </xf>
    <xf numFmtId="0" fontId="22" fillId="12" borderId="15" xfId="0" applyFont="1" applyFill="1" applyBorder="1" applyAlignment="1">
      <alignment horizontal="center" vertical="center" wrapText="1"/>
    </xf>
    <xf numFmtId="0" fontId="22" fillId="12" borderId="16" xfId="0" applyFont="1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D428-BFBB-4DC1-8158-703C3D9671B1}">
  <sheetPr codeName="Sheet2">
    <tabColor rgb="FFFFC000"/>
  </sheetPr>
  <dimension ref="A1:AF81"/>
  <sheetViews>
    <sheetView tabSelected="1" zoomScale="55" zoomScaleNormal="55" workbookViewId="0">
      <selection activeCell="Z40" sqref="Z40"/>
    </sheetView>
  </sheetViews>
  <sheetFormatPr defaultColWidth="9.28515625" defaultRowHeight="18.75"/>
  <cols>
    <col min="1" max="1" width="28.140625" style="1" customWidth="1"/>
    <col min="2" max="2" width="9.28515625" style="1"/>
    <col min="3" max="13" width="8.7109375" style="1" customWidth="1"/>
    <col min="14" max="15" width="9.7109375" style="5" customWidth="1"/>
    <col min="16" max="17" width="9.28515625" style="1"/>
    <col min="18" max="18" width="15.140625" style="1" bestFit="1" customWidth="1"/>
    <col min="19" max="19" width="9.28515625" style="1"/>
    <col min="20" max="20" width="12.5703125" style="1" customWidth="1"/>
    <col min="21" max="16384" width="9.28515625" style="1"/>
  </cols>
  <sheetData>
    <row r="1" spans="1:32">
      <c r="A1" s="327" t="s">
        <v>310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</row>
    <row r="2" spans="1:32">
      <c r="A2" s="327"/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</row>
    <row r="3" spans="1:32">
      <c r="A3" s="325" t="s">
        <v>0</v>
      </c>
      <c r="B3" s="325" t="s">
        <v>1</v>
      </c>
      <c r="C3" s="325" t="s">
        <v>29</v>
      </c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8" t="s">
        <v>30</v>
      </c>
      <c r="O3" s="328"/>
    </row>
    <row r="4" spans="1:32" ht="33.6" customHeight="1">
      <c r="A4" s="325"/>
      <c r="B4" s="325"/>
      <c r="C4" s="325" t="s">
        <v>2</v>
      </c>
      <c r="D4" s="325"/>
      <c r="E4" s="325"/>
      <c r="F4" s="325"/>
      <c r="G4" s="325"/>
      <c r="H4" s="325" t="s">
        <v>3</v>
      </c>
      <c r="I4" s="325" t="s">
        <v>4</v>
      </c>
      <c r="J4" s="325"/>
      <c r="K4" s="325"/>
      <c r="L4" s="2" t="s">
        <v>5</v>
      </c>
      <c r="M4" s="2" t="s">
        <v>6</v>
      </c>
      <c r="N4" s="4" t="s">
        <v>31</v>
      </c>
      <c r="O4" s="4" t="s">
        <v>32</v>
      </c>
    </row>
    <row r="5" spans="1:32" ht="33">
      <c r="A5" s="325"/>
      <c r="B5" s="325"/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325"/>
      <c r="I5" s="2">
        <v>60</v>
      </c>
      <c r="J5" s="2">
        <v>82</v>
      </c>
      <c r="K5" s="2">
        <v>100</v>
      </c>
      <c r="L5" s="2" t="s">
        <v>12</v>
      </c>
      <c r="M5" s="2">
        <v>12.7</v>
      </c>
      <c r="N5" s="3"/>
      <c r="O5" s="3"/>
    </row>
    <row r="6" spans="1:32">
      <c r="A6" s="6" t="s">
        <v>13</v>
      </c>
      <c r="B6" s="6">
        <f>B7</f>
        <v>546</v>
      </c>
      <c r="C6" s="6">
        <f t="shared" ref="C6:O6" si="0">C7</f>
        <v>22</v>
      </c>
      <c r="D6" s="6">
        <f t="shared" si="0"/>
        <v>289</v>
      </c>
      <c r="E6" s="6">
        <f t="shared" si="0"/>
        <v>27</v>
      </c>
      <c r="F6" s="6">
        <f t="shared" si="0"/>
        <v>6</v>
      </c>
      <c r="G6" s="6">
        <f t="shared" si="0"/>
        <v>54</v>
      </c>
      <c r="H6" s="6">
        <f t="shared" si="0"/>
        <v>1444</v>
      </c>
      <c r="I6" s="6">
        <f t="shared" si="0"/>
        <v>6</v>
      </c>
      <c r="J6" s="6">
        <f t="shared" si="0"/>
        <v>4</v>
      </c>
      <c r="K6" s="6">
        <f t="shared" si="0"/>
        <v>0</v>
      </c>
      <c r="L6" s="6">
        <f t="shared" si="0"/>
        <v>3</v>
      </c>
      <c r="M6" s="6">
        <f t="shared" si="0"/>
        <v>3</v>
      </c>
      <c r="N6" s="6">
        <f t="shared" si="0"/>
        <v>0</v>
      </c>
      <c r="O6" s="6">
        <f t="shared" si="0"/>
        <v>0</v>
      </c>
    </row>
    <row r="7" spans="1:32" ht="18.95" customHeight="1">
      <c r="A7" s="7" t="s">
        <v>16</v>
      </c>
      <c r="B7" s="8">
        <v>546</v>
      </c>
      <c r="C7" s="8">
        <v>22</v>
      </c>
      <c r="D7" s="8">
        <v>289</v>
      </c>
      <c r="E7" s="8">
        <v>27</v>
      </c>
      <c r="F7" s="8">
        <v>6</v>
      </c>
      <c r="G7" s="8">
        <v>54</v>
      </c>
      <c r="H7" s="8">
        <v>1444</v>
      </c>
      <c r="I7" s="8">
        <v>6</v>
      </c>
      <c r="J7" s="8">
        <v>4</v>
      </c>
      <c r="K7" s="8">
        <v>0</v>
      </c>
      <c r="L7" s="8">
        <v>3</v>
      </c>
      <c r="M7" s="8">
        <v>3</v>
      </c>
      <c r="N7" s="3"/>
      <c r="O7" s="3"/>
    </row>
    <row r="8" spans="1:32">
      <c r="A8" s="6" t="s">
        <v>75</v>
      </c>
      <c r="B8" s="6">
        <f t="shared" ref="B8:N8" si="1">SUM(B9:B17)</f>
        <v>455</v>
      </c>
      <c r="C8" s="6">
        <f t="shared" si="1"/>
        <v>20</v>
      </c>
      <c r="D8" s="6">
        <f t="shared" si="1"/>
        <v>197</v>
      </c>
      <c r="E8" s="6">
        <f t="shared" si="1"/>
        <v>9</v>
      </c>
      <c r="F8" s="6">
        <f t="shared" si="1"/>
        <v>2</v>
      </c>
      <c r="G8" s="6">
        <f t="shared" si="1"/>
        <v>18</v>
      </c>
      <c r="H8" s="6">
        <f t="shared" si="1"/>
        <v>959</v>
      </c>
      <c r="I8" s="6">
        <f t="shared" si="1"/>
        <v>2</v>
      </c>
      <c r="J8" s="6">
        <f t="shared" si="1"/>
        <v>0</v>
      </c>
      <c r="K8" s="6">
        <f t="shared" si="1"/>
        <v>4</v>
      </c>
      <c r="L8" s="6">
        <f t="shared" si="1"/>
        <v>6</v>
      </c>
      <c r="M8" s="6">
        <f t="shared" si="1"/>
        <v>6</v>
      </c>
      <c r="N8" s="6">
        <f t="shared" si="1"/>
        <v>0</v>
      </c>
      <c r="O8" s="6">
        <f t="shared" ref="O8" si="2">SUM(O9:O18)</f>
        <v>0</v>
      </c>
    </row>
    <row r="9" spans="1:32">
      <c r="A9" s="9" t="s">
        <v>117</v>
      </c>
      <c r="B9" s="8">
        <v>74</v>
      </c>
      <c r="C9" s="8">
        <v>4</v>
      </c>
      <c r="D9" s="8">
        <v>30</v>
      </c>
      <c r="E9" s="8"/>
      <c r="F9" s="8"/>
      <c r="G9" s="8"/>
      <c r="H9" s="8">
        <v>139</v>
      </c>
      <c r="I9" s="8"/>
      <c r="J9" s="8"/>
      <c r="K9" s="8">
        <v>4</v>
      </c>
      <c r="L9" s="8"/>
      <c r="M9" s="8"/>
      <c r="N9" s="3"/>
      <c r="O9" s="3"/>
    </row>
    <row r="10" spans="1:32">
      <c r="A10" s="9" t="s">
        <v>17</v>
      </c>
      <c r="B10" s="8">
        <v>69</v>
      </c>
      <c r="C10" s="8">
        <v>4</v>
      </c>
      <c r="D10" s="8">
        <v>26</v>
      </c>
      <c r="E10" s="8"/>
      <c r="F10" s="8"/>
      <c r="G10" s="8"/>
      <c r="H10" s="8">
        <v>130</v>
      </c>
      <c r="I10" s="8"/>
      <c r="J10" s="8"/>
      <c r="K10" s="8"/>
      <c r="L10" s="8">
        <v>6</v>
      </c>
      <c r="M10" s="8"/>
      <c r="N10" s="3"/>
      <c r="O10" s="3"/>
    </row>
    <row r="11" spans="1:32">
      <c r="A11" s="9" t="s">
        <v>18</v>
      </c>
      <c r="B11" s="8">
        <v>82</v>
      </c>
      <c r="C11" s="8">
        <v>4</v>
      </c>
      <c r="D11" s="8">
        <v>26</v>
      </c>
      <c r="E11" s="8"/>
      <c r="F11" s="8"/>
      <c r="G11" s="8"/>
      <c r="H11" s="8">
        <v>156</v>
      </c>
      <c r="I11" s="8"/>
      <c r="J11" s="8"/>
      <c r="K11" s="8"/>
      <c r="L11" s="8"/>
      <c r="M11" s="8">
        <v>6</v>
      </c>
      <c r="N11" s="3"/>
      <c r="O11" s="3"/>
    </row>
    <row r="12" spans="1:32">
      <c r="A12" s="9" t="s">
        <v>19</v>
      </c>
      <c r="B12" s="8">
        <v>28</v>
      </c>
      <c r="C12" s="8"/>
      <c r="D12" s="8">
        <v>10</v>
      </c>
      <c r="E12" s="8"/>
      <c r="F12" s="8"/>
      <c r="G12" s="8"/>
      <c r="H12" s="8">
        <v>56</v>
      </c>
      <c r="I12" s="8"/>
      <c r="J12" s="8"/>
      <c r="K12" s="8"/>
      <c r="L12" s="8"/>
      <c r="M12" s="8"/>
      <c r="N12" s="3"/>
      <c r="O12" s="3"/>
    </row>
    <row r="13" spans="1:32">
      <c r="A13" s="10" t="s">
        <v>20</v>
      </c>
      <c r="B13" s="11">
        <v>3</v>
      </c>
      <c r="C13" s="11"/>
      <c r="D13" s="11">
        <v>3</v>
      </c>
      <c r="E13" s="11"/>
      <c r="F13" s="11"/>
      <c r="G13" s="11"/>
      <c r="H13" s="11">
        <v>6</v>
      </c>
      <c r="I13" s="11"/>
      <c r="J13" s="11"/>
      <c r="K13" s="11"/>
      <c r="L13" s="11"/>
      <c r="M13" s="11"/>
      <c r="N13" s="3"/>
      <c r="O13" s="3"/>
    </row>
    <row r="14" spans="1:32">
      <c r="A14" s="10" t="s">
        <v>326</v>
      </c>
      <c r="B14" s="11">
        <v>19</v>
      </c>
      <c r="C14" s="11"/>
      <c r="D14" s="11">
        <v>10</v>
      </c>
      <c r="E14" s="11"/>
      <c r="F14" s="11"/>
      <c r="G14" s="11"/>
      <c r="H14" s="11">
        <v>50</v>
      </c>
      <c r="I14" s="11"/>
      <c r="J14" s="11"/>
      <c r="K14" s="11"/>
      <c r="L14" s="11"/>
      <c r="M14" s="11"/>
      <c r="N14" s="3"/>
      <c r="O14" s="3"/>
    </row>
    <row r="15" spans="1:32">
      <c r="A15" s="9" t="s">
        <v>325</v>
      </c>
      <c r="B15" s="8">
        <v>66</v>
      </c>
      <c r="C15" s="8">
        <v>4</v>
      </c>
      <c r="D15" s="8">
        <v>23</v>
      </c>
      <c r="E15" s="8"/>
      <c r="F15" s="8"/>
      <c r="G15" s="8"/>
      <c r="H15" s="8">
        <v>70</v>
      </c>
      <c r="I15" s="8"/>
      <c r="J15" s="8"/>
      <c r="K15" s="8"/>
      <c r="L15" s="8"/>
      <c r="M15" s="8"/>
      <c r="N15" s="3"/>
      <c r="O15" s="3"/>
    </row>
    <row r="16" spans="1:32">
      <c r="A16" s="9" t="s">
        <v>116</v>
      </c>
      <c r="B16" s="8">
        <v>3</v>
      </c>
      <c r="C16" s="8"/>
      <c r="D16" s="8">
        <v>1</v>
      </c>
      <c r="E16" s="8"/>
      <c r="F16" s="8"/>
      <c r="G16" s="8"/>
      <c r="H16" s="8">
        <v>6</v>
      </c>
      <c r="I16" s="8"/>
      <c r="J16" s="8"/>
      <c r="K16" s="8"/>
      <c r="L16" s="8"/>
      <c r="M16" s="8"/>
      <c r="N16" s="3"/>
      <c r="O16" s="3"/>
      <c r="Q16" s="84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</row>
    <row r="17" spans="1:32">
      <c r="A17" s="268" t="s">
        <v>324</v>
      </c>
      <c r="B17" s="8">
        <v>111</v>
      </c>
      <c r="C17" s="8">
        <v>4</v>
      </c>
      <c r="D17" s="8">
        <v>68</v>
      </c>
      <c r="E17" s="8">
        <v>9</v>
      </c>
      <c r="F17" s="8">
        <v>2</v>
      </c>
      <c r="G17" s="8">
        <v>18</v>
      </c>
      <c r="H17" s="8">
        <v>346</v>
      </c>
      <c r="I17" s="8">
        <v>2</v>
      </c>
      <c r="J17" s="8">
        <v>0</v>
      </c>
      <c r="K17" s="8">
        <v>0</v>
      </c>
      <c r="L17" s="8">
        <v>0</v>
      </c>
      <c r="M17" s="8">
        <v>0</v>
      </c>
      <c r="N17" s="3"/>
      <c r="O17" s="3"/>
      <c r="Q17" s="59"/>
      <c r="R17" s="60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</row>
    <row r="18" spans="1:32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3"/>
      <c r="O18" s="3"/>
      <c r="Q18" s="62"/>
      <c r="R18" s="63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</row>
    <row r="19" spans="1:32">
      <c r="A19" s="12" t="s">
        <v>15</v>
      </c>
      <c r="B19" s="13">
        <f>B6+B8</f>
        <v>1001</v>
      </c>
      <c r="C19" s="13">
        <f t="shared" ref="C19:O19" si="3">C7+C8</f>
        <v>42</v>
      </c>
      <c r="D19" s="13">
        <f t="shared" si="3"/>
        <v>486</v>
      </c>
      <c r="E19" s="13">
        <f t="shared" si="3"/>
        <v>36</v>
      </c>
      <c r="F19" s="13">
        <f t="shared" si="3"/>
        <v>8</v>
      </c>
      <c r="G19" s="13">
        <f t="shared" si="3"/>
        <v>72</v>
      </c>
      <c r="H19" s="13">
        <f t="shared" si="3"/>
        <v>2403</v>
      </c>
      <c r="I19" s="13">
        <f t="shared" si="3"/>
        <v>8</v>
      </c>
      <c r="J19" s="13">
        <f t="shared" si="3"/>
        <v>4</v>
      </c>
      <c r="K19" s="13">
        <f t="shared" si="3"/>
        <v>4</v>
      </c>
      <c r="L19" s="13">
        <f t="shared" si="3"/>
        <v>9</v>
      </c>
      <c r="M19" s="13">
        <f t="shared" si="3"/>
        <v>9</v>
      </c>
      <c r="N19" s="13">
        <f t="shared" si="3"/>
        <v>0</v>
      </c>
      <c r="O19" s="13">
        <f t="shared" si="3"/>
        <v>0</v>
      </c>
      <c r="Q19" s="62"/>
      <c r="R19" s="63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</row>
    <row r="20" spans="1:32">
      <c r="A20" s="327" t="s">
        <v>21</v>
      </c>
      <c r="B20" s="327"/>
      <c r="C20" s="327"/>
      <c r="D20" s="327"/>
      <c r="E20" s="327"/>
      <c r="F20" s="327"/>
      <c r="G20" s="327"/>
      <c r="H20" s="327"/>
      <c r="I20" s="327"/>
      <c r="J20" s="327"/>
      <c r="K20" s="327"/>
      <c r="L20" s="327"/>
      <c r="M20" s="327"/>
      <c r="N20" s="327"/>
      <c r="O20" s="327"/>
      <c r="Q20" s="58"/>
      <c r="R20" s="64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</row>
    <row r="21" spans="1:32" ht="18.399999999999999" customHeight="1">
      <c r="A21" s="327"/>
      <c r="B21" s="327"/>
      <c r="C21" s="327"/>
      <c r="D21" s="327"/>
      <c r="E21" s="327"/>
      <c r="F21" s="327"/>
      <c r="G21" s="327"/>
      <c r="H21" s="327"/>
      <c r="I21" s="327"/>
      <c r="J21" s="327"/>
      <c r="K21" s="327"/>
      <c r="L21" s="327"/>
      <c r="M21" s="327"/>
      <c r="N21" s="327"/>
      <c r="O21" s="327"/>
      <c r="Q21" s="59"/>
      <c r="R21" s="60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</row>
    <row r="22" spans="1:32">
      <c r="A22" s="325" t="s">
        <v>0</v>
      </c>
      <c r="B22" s="325" t="s">
        <v>1</v>
      </c>
      <c r="C22" s="325" t="s">
        <v>29</v>
      </c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6" t="s">
        <v>30</v>
      </c>
      <c r="O22" s="326"/>
      <c r="Q22" s="59"/>
      <c r="R22" s="60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</row>
    <row r="23" spans="1:32" ht="33">
      <c r="A23" s="325"/>
      <c r="B23" s="325"/>
      <c r="C23" s="325" t="s">
        <v>2</v>
      </c>
      <c r="D23" s="325"/>
      <c r="E23" s="325"/>
      <c r="F23" s="325"/>
      <c r="G23" s="325"/>
      <c r="H23" s="325" t="s">
        <v>3</v>
      </c>
      <c r="I23" s="325" t="s">
        <v>4</v>
      </c>
      <c r="J23" s="325"/>
      <c r="K23" s="325"/>
      <c r="L23" s="2" t="s">
        <v>5</v>
      </c>
      <c r="M23" s="2" t="s">
        <v>6</v>
      </c>
      <c r="N23" s="4" t="s">
        <v>31</v>
      </c>
      <c r="O23" s="4" t="s">
        <v>32</v>
      </c>
    </row>
    <row r="24" spans="1:32" ht="33">
      <c r="A24" s="325"/>
      <c r="B24" s="325"/>
      <c r="C24" s="2" t="s">
        <v>7</v>
      </c>
      <c r="D24" s="2" t="s">
        <v>8</v>
      </c>
      <c r="E24" s="2" t="s">
        <v>9</v>
      </c>
      <c r="F24" s="2" t="s">
        <v>10</v>
      </c>
      <c r="G24" s="2" t="s">
        <v>11</v>
      </c>
      <c r="H24" s="325"/>
      <c r="I24" s="2">
        <v>60</v>
      </c>
      <c r="J24" s="2">
        <v>82</v>
      </c>
      <c r="K24" s="2">
        <v>100</v>
      </c>
      <c r="L24" s="2" t="s">
        <v>12</v>
      </c>
      <c r="M24" s="2">
        <v>12.7</v>
      </c>
      <c r="N24" s="3"/>
      <c r="O24" s="3"/>
    </row>
    <row r="25" spans="1:32">
      <c r="A25" s="6" t="s">
        <v>13</v>
      </c>
      <c r="B25" s="6">
        <f>B26</f>
        <v>111</v>
      </c>
      <c r="C25" s="6">
        <f t="shared" ref="C25:O25" si="4">C26</f>
        <v>4</v>
      </c>
      <c r="D25" s="6">
        <f t="shared" si="4"/>
        <v>68</v>
      </c>
      <c r="E25" s="6">
        <f t="shared" si="4"/>
        <v>9</v>
      </c>
      <c r="F25" s="6">
        <f t="shared" si="4"/>
        <v>2</v>
      </c>
      <c r="G25" s="6">
        <f t="shared" si="4"/>
        <v>18</v>
      </c>
      <c r="H25" s="6">
        <f t="shared" si="4"/>
        <v>346</v>
      </c>
      <c r="I25" s="6">
        <f t="shared" si="4"/>
        <v>2</v>
      </c>
      <c r="J25" s="6">
        <f t="shared" si="4"/>
        <v>0</v>
      </c>
      <c r="K25" s="6">
        <f t="shared" si="4"/>
        <v>0</v>
      </c>
      <c r="L25" s="6">
        <f t="shared" si="4"/>
        <v>0</v>
      </c>
      <c r="M25" s="6">
        <f t="shared" si="4"/>
        <v>0</v>
      </c>
      <c r="N25" s="6">
        <f t="shared" si="4"/>
        <v>0</v>
      </c>
      <c r="O25" s="6">
        <f t="shared" si="4"/>
        <v>0</v>
      </c>
    </row>
    <row r="26" spans="1:32">
      <c r="A26" s="7" t="s">
        <v>36</v>
      </c>
      <c r="B26" s="8">
        <v>111</v>
      </c>
      <c r="C26" s="8">
        <v>4</v>
      </c>
      <c r="D26" s="8">
        <v>68</v>
      </c>
      <c r="E26" s="8">
        <v>9</v>
      </c>
      <c r="F26" s="8">
        <v>2</v>
      </c>
      <c r="G26" s="8">
        <v>18</v>
      </c>
      <c r="H26" s="8">
        <v>346</v>
      </c>
      <c r="I26" s="8">
        <v>2</v>
      </c>
      <c r="J26" s="8">
        <v>0</v>
      </c>
      <c r="K26" s="8">
        <v>0</v>
      </c>
      <c r="L26" s="8">
        <v>0</v>
      </c>
      <c r="M26" s="8">
        <v>0</v>
      </c>
      <c r="N26" s="3"/>
      <c r="O26" s="3"/>
    </row>
    <row r="27" spans="1:32">
      <c r="A27" s="6" t="s">
        <v>14</v>
      </c>
      <c r="B27" s="6">
        <f t="shared" ref="B27:O27" si="5">SUM(B28:B34)</f>
        <v>197</v>
      </c>
      <c r="C27" s="6">
        <f t="shared" si="5"/>
        <v>8</v>
      </c>
      <c r="D27" s="6">
        <f t="shared" si="5"/>
        <v>93</v>
      </c>
      <c r="E27" s="6">
        <f t="shared" si="5"/>
        <v>6</v>
      </c>
      <c r="F27" s="6">
        <f t="shared" si="5"/>
        <v>2</v>
      </c>
      <c r="G27" s="6">
        <f t="shared" si="5"/>
        <v>12</v>
      </c>
      <c r="H27" s="6">
        <f t="shared" si="5"/>
        <v>500</v>
      </c>
      <c r="I27" s="6">
        <f t="shared" si="5"/>
        <v>2</v>
      </c>
      <c r="J27" s="6">
        <f t="shared" si="5"/>
        <v>3</v>
      </c>
      <c r="K27" s="6">
        <f t="shared" si="5"/>
        <v>0</v>
      </c>
      <c r="L27" s="6">
        <f t="shared" si="5"/>
        <v>3</v>
      </c>
      <c r="M27" s="6">
        <f t="shared" si="5"/>
        <v>3</v>
      </c>
      <c r="N27" s="6">
        <f t="shared" si="5"/>
        <v>0</v>
      </c>
      <c r="O27" s="6">
        <f t="shared" si="5"/>
        <v>0</v>
      </c>
    </row>
    <row r="28" spans="1:32">
      <c r="A28" s="9" t="s">
        <v>327</v>
      </c>
      <c r="B28" s="8">
        <v>29</v>
      </c>
      <c r="C28" s="8"/>
      <c r="D28" s="8">
        <v>11</v>
      </c>
      <c r="E28" s="8"/>
      <c r="F28" s="8"/>
      <c r="G28" s="8"/>
      <c r="H28" s="8">
        <v>58</v>
      </c>
      <c r="I28" s="8"/>
      <c r="J28" s="8"/>
      <c r="K28" s="8"/>
      <c r="L28" s="8">
        <v>3</v>
      </c>
      <c r="M28" s="8"/>
      <c r="N28" s="3"/>
      <c r="O28" s="3"/>
    </row>
    <row r="29" spans="1:32">
      <c r="A29" s="9" t="s">
        <v>22</v>
      </c>
      <c r="B29" s="8">
        <v>34</v>
      </c>
      <c r="C29" s="8">
        <v>4</v>
      </c>
      <c r="D29" s="8">
        <v>17</v>
      </c>
      <c r="E29" s="8"/>
      <c r="F29" s="8"/>
      <c r="G29" s="8"/>
      <c r="H29" s="8">
        <v>94</v>
      </c>
      <c r="I29" s="8"/>
      <c r="J29" s="8">
        <v>3</v>
      </c>
      <c r="K29" s="8"/>
      <c r="L29" s="8"/>
      <c r="M29" s="8"/>
      <c r="N29" s="3"/>
      <c r="O29" s="3"/>
    </row>
    <row r="30" spans="1:32">
      <c r="A30" s="9" t="s">
        <v>328</v>
      </c>
      <c r="B30" s="8">
        <v>35</v>
      </c>
      <c r="C30" s="8"/>
      <c r="D30" s="8">
        <v>11</v>
      </c>
      <c r="E30" s="8"/>
      <c r="F30" s="8"/>
      <c r="G30" s="8"/>
      <c r="H30" s="8">
        <v>70</v>
      </c>
      <c r="I30" s="8"/>
      <c r="J30" s="8"/>
      <c r="K30" s="8"/>
      <c r="L30" s="8"/>
      <c r="M30" s="8">
        <v>3</v>
      </c>
      <c r="N30" s="3"/>
      <c r="O30" s="3"/>
    </row>
    <row r="31" spans="1:32">
      <c r="A31" s="9" t="s">
        <v>329</v>
      </c>
      <c r="B31" s="8">
        <v>82</v>
      </c>
      <c r="C31" s="8">
        <v>4</v>
      </c>
      <c r="D31" s="8">
        <v>48</v>
      </c>
      <c r="E31" s="8">
        <v>6</v>
      </c>
      <c r="F31" s="8">
        <v>2</v>
      </c>
      <c r="G31" s="8">
        <v>12</v>
      </c>
      <c r="H31" s="8">
        <f>346-102</f>
        <v>244</v>
      </c>
      <c r="I31" s="8">
        <v>2</v>
      </c>
      <c r="J31" s="8"/>
      <c r="K31" s="8"/>
      <c r="L31" s="8"/>
      <c r="M31" s="8"/>
      <c r="N31" s="3"/>
      <c r="O31" s="3"/>
    </row>
    <row r="32" spans="1:32">
      <c r="A32" s="10" t="s">
        <v>23</v>
      </c>
      <c r="B32" s="11">
        <v>1</v>
      </c>
      <c r="C32" s="11"/>
      <c r="D32" s="11">
        <v>1</v>
      </c>
      <c r="E32" s="11"/>
      <c r="F32" s="11"/>
      <c r="G32" s="11"/>
      <c r="H32" s="11">
        <v>2</v>
      </c>
      <c r="I32" s="11"/>
      <c r="J32" s="11"/>
      <c r="K32" s="11"/>
      <c r="L32" s="11"/>
      <c r="M32" s="11"/>
      <c r="N32" s="3"/>
      <c r="O32" s="3"/>
    </row>
    <row r="33" spans="1:15">
      <c r="A33" s="10" t="s">
        <v>330</v>
      </c>
      <c r="B33" s="11">
        <v>7</v>
      </c>
      <c r="C33" s="11"/>
      <c r="D33" s="11">
        <v>2</v>
      </c>
      <c r="E33" s="11"/>
      <c r="F33" s="11"/>
      <c r="G33" s="11"/>
      <c r="H33" s="11">
        <v>14</v>
      </c>
      <c r="I33" s="11"/>
      <c r="J33" s="11"/>
      <c r="K33" s="11"/>
      <c r="L33" s="11"/>
      <c r="M33" s="11"/>
      <c r="N33" s="3"/>
      <c r="O33" s="3"/>
    </row>
    <row r="34" spans="1:15">
      <c r="A34" s="9" t="s">
        <v>24</v>
      </c>
      <c r="B34" s="8">
        <v>9</v>
      </c>
      <c r="C34" s="8"/>
      <c r="D34" s="8">
        <v>3</v>
      </c>
      <c r="E34" s="8"/>
      <c r="F34" s="8"/>
      <c r="G34" s="8"/>
      <c r="H34" s="8">
        <v>18</v>
      </c>
      <c r="I34" s="8"/>
      <c r="J34" s="8"/>
      <c r="K34" s="8"/>
      <c r="L34" s="8"/>
      <c r="M34" s="8"/>
      <c r="N34" s="3"/>
      <c r="O34" s="3"/>
    </row>
    <row r="36" spans="1:15">
      <c r="A36" s="12" t="s">
        <v>15</v>
      </c>
      <c r="B36" s="13">
        <f>B25+B27</f>
        <v>308</v>
      </c>
      <c r="C36" s="13">
        <f t="shared" ref="C36:O36" si="6">C26+C27</f>
        <v>12</v>
      </c>
      <c r="D36" s="13">
        <f t="shared" si="6"/>
        <v>161</v>
      </c>
      <c r="E36" s="13">
        <f t="shared" si="6"/>
        <v>15</v>
      </c>
      <c r="F36" s="13">
        <f t="shared" si="6"/>
        <v>4</v>
      </c>
      <c r="G36" s="13">
        <f t="shared" si="6"/>
        <v>30</v>
      </c>
      <c r="H36" s="13">
        <f t="shared" si="6"/>
        <v>846</v>
      </c>
      <c r="I36" s="13">
        <f t="shared" si="6"/>
        <v>4</v>
      </c>
      <c r="J36" s="13">
        <f t="shared" si="6"/>
        <v>3</v>
      </c>
      <c r="K36" s="13">
        <f t="shared" si="6"/>
        <v>0</v>
      </c>
      <c r="L36" s="13">
        <f t="shared" si="6"/>
        <v>3</v>
      </c>
      <c r="M36" s="13">
        <f t="shared" si="6"/>
        <v>3</v>
      </c>
      <c r="N36" s="13">
        <f t="shared" si="6"/>
        <v>0</v>
      </c>
      <c r="O36" s="13">
        <f t="shared" si="6"/>
        <v>0</v>
      </c>
    </row>
    <row r="37" spans="1:15">
      <c r="A37" s="327" t="s">
        <v>25</v>
      </c>
      <c r="B37" s="327"/>
      <c r="C37" s="327"/>
      <c r="D37" s="327"/>
      <c r="E37" s="327"/>
      <c r="F37" s="327"/>
      <c r="G37" s="327"/>
      <c r="H37" s="327"/>
      <c r="I37" s="327"/>
      <c r="J37" s="327"/>
      <c r="K37" s="327"/>
      <c r="L37" s="327"/>
      <c r="M37" s="327"/>
      <c r="N37" s="327"/>
      <c r="O37" s="327"/>
    </row>
    <row r="38" spans="1:15" ht="18.399999999999999" customHeight="1">
      <c r="A38" s="327"/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</row>
    <row r="39" spans="1:15">
      <c r="A39" s="325" t="s">
        <v>0</v>
      </c>
      <c r="B39" s="325" t="s">
        <v>1</v>
      </c>
      <c r="C39" s="325" t="s">
        <v>29</v>
      </c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6" t="s">
        <v>30</v>
      </c>
      <c r="O39" s="326"/>
    </row>
    <row r="40" spans="1:15" ht="33">
      <c r="A40" s="325"/>
      <c r="B40" s="325"/>
      <c r="C40" s="325" t="s">
        <v>2</v>
      </c>
      <c r="D40" s="325"/>
      <c r="E40" s="325"/>
      <c r="F40" s="325"/>
      <c r="G40" s="325"/>
      <c r="H40" s="325" t="s">
        <v>3</v>
      </c>
      <c r="I40" s="325" t="s">
        <v>4</v>
      </c>
      <c r="J40" s="325"/>
      <c r="K40" s="325"/>
      <c r="L40" s="2" t="s">
        <v>5</v>
      </c>
      <c r="M40" s="2" t="s">
        <v>6</v>
      </c>
      <c r="N40" s="4" t="s">
        <v>31</v>
      </c>
      <c r="O40" s="4" t="s">
        <v>32</v>
      </c>
    </row>
    <row r="41" spans="1:15" ht="33">
      <c r="A41" s="325"/>
      <c r="B41" s="325"/>
      <c r="C41" s="2" t="s">
        <v>7</v>
      </c>
      <c r="D41" s="2" t="s">
        <v>8</v>
      </c>
      <c r="E41" s="2" t="s">
        <v>9</v>
      </c>
      <c r="F41" s="2" t="s">
        <v>10</v>
      </c>
      <c r="G41" s="2" t="s">
        <v>11</v>
      </c>
      <c r="H41" s="325"/>
      <c r="I41" s="2">
        <v>60</v>
      </c>
      <c r="J41" s="2">
        <v>82</v>
      </c>
      <c r="K41" s="2">
        <v>100</v>
      </c>
      <c r="L41" s="2" t="s">
        <v>12</v>
      </c>
      <c r="M41" s="2">
        <v>12.7</v>
      </c>
      <c r="N41" s="3"/>
      <c r="O41" s="3"/>
    </row>
    <row r="42" spans="1:15">
      <c r="A42" s="6" t="s">
        <v>13</v>
      </c>
      <c r="B42" s="6">
        <f>B43</f>
        <v>111</v>
      </c>
      <c r="C42" s="6">
        <f t="shared" ref="C42:O42" si="7">C43</f>
        <v>4</v>
      </c>
      <c r="D42" s="6">
        <f t="shared" si="7"/>
        <v>68</v>
      </c>
      <c r="E42" s="6">
        <f t="shared" si="7"/>
        <v>9</v>
      </c>
      <c r="F42" s="6">
        <f t="shared" si="7"/>
        <v>2</v>
      </c>
      <c r="G42" s="6">
        <f t="shared" si="7"/>
        <v>18</v>
      </c>
      <c r="H42" s="6">
        <f t="shared" si="7"/>
        <v>346</v>
      </c>
      <c r="I42" s="6">
        <f t="shared" si="7"/>
        <v>2</v>
      </c>
      <c r="J42" s="6">
        <f t="shared" si="7"/>
        <v>0</v>
      </c>
      <c r="K42" s="6">
        <f t="shared" si="7"/>
        <v>0</v>
      </c>
      <c r="L42" s="6">
        <f t="shared" si="7"/>
        <v>0</v>
      </c>
      <c r="M42" s="6">
        <f t="shared" si="7"/>
        <v>0</v>
      </c>
      <c r="N42" s="6">
        <f t="shared" si="7"/>
        <v>0</v>
      </c>
      <c r="O42" s="6">
        <f t="shared" si="7"/>
        <v>0</v>
      </c>
    </row>
    <row r="43" spans="1:15">
      <c r="A43" s="7" t="s">
        <v>342</v>
      </c>
      <c r="B43" s="8">
        <v>111</v>
      </c>
      <c r="C43" s="8">
        <v>4</v>
      </c>
      <c r="D43" s="8">
        <v>68</v>
      </c>
      <c r="E43" s="8">
        <v>9</v>
      </c>
      <c r="F43" s="8">
        <v>2</v>
      </c>
      <c r="G43" s="8">
        <v>18</v>
      </c>
      <c r="H43" s="8">
        <v>346</v>
      </c>
      <c r="I43" s="8">
        <v>2</v>
      </c>
      <c r="J43" s="8">
        <v>0</v>
      </c>
      <c r="K43" s="8">
        <v>0</v>
      </c>
      <c r="L43" s="8">
        <v>0</v>
      </c>
      <c r="M43" s="8">
        <v>0</v>
      </c>
      <c r="N43" s="3">
        <v>0</v>
      </c>
      <c r="O43" s="3">
        <v>0</v>
      </c>
    </row>
    <row r="44" spans="1:15">
      <c r="A44" s="6" t="s">
        <v>14</v>
      </c>
      <c r="B44" s="6">
        <f t="shared" ref="B44:O44" si="8">SUM(B45:B49)</f>
        <v>85</v>
      </c>
      <c r="C44" s="6">
        <f t="shared" si="8"/>
        <v>0</v>
      </c>
      <c r="D44" s="6">
        <f t="shared" si="8"/>
        <v>28</v>
      </c>
      <c r="E44" s="6">
        <f t="shared" si="8"/>
        <v>0</v>
      </c>
      <c r="F44" s="6">
        <f t="shared" si="8"/>
        <v>0</v>
      </c>
      <c r="G44" s="6">
        <f t="shared" si="8"/>
        <v>0</v>
      </c>
      <c r="H44" s="6">
        <f t="shared" si="8"/>
        <v>168</v>
      </c>
      <c r="I44" s="6">
        <f t="shared" si="8"/>
        <v>0</v>
      </c>
      <c r="J44" s="6">
        <f t="shared" si="8"/>
        <v>1</v>
      </c>
      <c r="K44" s="6">
        <f t="shared" si="8"/>
        <v>0</v>
      </c>
      <c r="L44" s="6">
        <f t="shared" si="8"/>
        <v>3</v>
      </c>
      <c r="M44" s="6">
        <f t="shared" si="8"/>
        <v>3</v>
      </c>
      <c r="N44" s="6">
        <f t="shared" si="8"/>
        <v>0</v>
      </c>
      <c r="O44" s="6">
        <f t="shared" si="8"/>
        <v>0</v>
      </c>
    </row>
    <row r="45" spans="1:15">
      <c r="A45" s="9" t="s">
        <v>331</v>
      </c>
      <c r="B45" s="8">
        <v>29</v>
      </c>
      <c r="C45" s="8"/>
      <c r="D45" s="8">
        <v>11</v>
      </c>
      <c r="E45" s="8"/>
      <c r="F45" s="8"/>
      <c r="G45" s="8"/>
      <c r="H45" s="8">
        <v>58</v>
      </c>
      <c r="I45" s="8"/>
      <c r="J45" s="8"/>
      <c r="K45" s="8"/>
      <c r="L45" s="8">
        <v>3</v>
      </c>
      <c r="M45" s="8"/>
      <c r="N45" s="3"/>
      <c r="O45" s="3"/>
    </row>
    <row r="46" spans="1:15">
      <c r="A46" s="9" t="s">
        <v>332</v>
      </c>
      <c r="B46" s="8">
        <v>17</v>
      </c>
      <c r="C46" s="8"/>
      <c r="D46" s="8">
        <v>5</v>
      </c>
      <c r="E46" s="8"/>
      <c r="F46" s="8"/>
      <c r="G46" s="8"/>
      <c r="H46" s="8">
        <v>32</v>
      </c>
      <c r="I46" s="8"/>
      <c r="J46" s="8">
        <v>1</v>
      </c>
      <c r="K46" s="8"/>
      <c r="L46" s="8"/>
      <c r="M46" s="8"/>
      <c r="N46" s="3"/>
      <c r="O46" s="3"/>
    </row>
    <row r="47" spans="1:15">
      <c r="A47" s="9" t="s">
        <v>333</v>
      </c>
      <c r="B47" s="8">
        <v>35</v>
      </c>
      <c r="C47" s="8"/>
      <c r="D47" s="8">
        <v>11</v>
      </c>
      <c r="E47" s="8"/>
      <c r="F47" s="8"/>
      <c r="G47" s="8"/>
      <c r="H47" s="8">
        <v>70</v>
      </c>
      <c r="I47" s="8"/>
      <c r="J47" s="8"/>
      <c r="K47" s="8"/>
      <c r="L47" s="8"/>
      <c r="M47" s="8">
        <v>3</v>
      </c>
      <c r="N47" s="3"/>
      <c r="O47" s="3"/>
    </row>
    <row r="48" spans="1:15">
      <c r="A48" s="9" t="s">
        <v>76</v>
      </c>
      <c r="B48" s="8">
        <v>4</v>
      </c>
      <c r="C48" s="8"/>
      <c r="D48" s="8">
        <v>1</v>
      </c>
      <c r="E48" s="8"/>
      <c r="F48" s="8"/>
      <c r="G48" s="8"/>
      <c r="H48" s="8">
        <v>8</v>
      </c>
      <c r="I48" s="8"/>
      <c r="J48" s="8"/>
      <c r="K48" s="8"/>
      <c r="L48" s="8"/>
      <c r="M48" s="8"/>
      <c r="N48" s="3"/>
      <c r="O48" s="3"/>
    </row>
    <row r="49" spans="1:15">
      <c r="A49" s="267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</row>
    <row r="50" spans="1:15">
      <c r="A50" s="267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</row>
    <row r="51" spans="1:15">
      <c r="A51" s="12" t="s">
        <v>15</v>
      </c>
      <c r="B51" s="13">
        <f>B42+B44</f>
        <v>196</v>
      </c>
      <c r="C51" s="13">
        <f t="shared" ref="C51:O51" si="9">C43+C44</f>
        <v>4</v>
      </c>
      <c r="D51" s="13">
        <f t="shared" si="9"/>
        <v>96</v>
      </c>
      <c r="E51" s="13">
        <f t="shared" si="9"/>
        <v>9</v>
      </c>
      <c r="F51" s="13">
        <f t="shared" si="9"/>
        <v>2</v>
      </c>
      <c r="G51" s="13">
        <f t="shared" si="9"/>
        <v>18</v>
      </c>
      <c r="H51" s="13">
        <f t="shared" si="9"/>
        <v>514</v>
      </c>
      <c r="I51" s="13">
        <f t="shared" si="9"/>
        <v>2</v>
      </c>
      <c r="J51" s="13">
        <f t="shared" si="9"/>
        <v>1</v>
      </c>
      <c r="K51" s="13">
        <f t="shared" si="9"/>
        <v>0</v>
      </c>
      <c r="L51" s="13">
        <f t="shared" si="9"/>
        <v>3</v>
      </c>
      <c r="M51" s="13">
        <f t="shared" si="9"/>
        <v>3</v>
      </c>
      <c r="N51" s="13">
        <f t="shared" si="9"/>
        <v>0</v>
      </c>
      <c r="O51" s="13">
        <f t="shared" si="9"/>
        <v>0</v>
      </c>
    </row>
    <row r="52" spans="1:15" ht="18.399999999999999" customHeight="1">
      <c r="A52" s="327" t="s">
        <v>311</v>
      </c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</row>
    <row r="53" spans="1:15">
      <c r="A53" s="327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</row>
    <row r="54" spans="1:15">
      <c r="A54" s="325" t="s">
        <v>0</v>
      </c>
      <c r="B54" s="325" t="s">
        <v>1</v>
      </c>
      <c r="C54" s="325" t="s">
        <v>29</v>
      </c>
      <c r="D54" s="325"/>
      <c r="E54" s="325"/>
      <c r="F54" s="325"/>
      <c r="G54" s="325"/>
      <c r="H54" s="325"/>
      <c r="I54" s="325"/>
      <c r="J54" s="325"/>
      <c r="K54" s="325"/>
      <c r="L54" s="325"/>
      <c r="M54" s="325"/>
      <c r="N54" s="326" t="s">
        <v>30</v>
      </c>
      <c r="O54" s="326"/>
    </row>
    <row r="55" spans="1:15" ht="33">
      <c r="A55" s="325"/>
      <c r="B55" s="325"/>
      <c r="C55" s="325" t="s">
        <v>2</v>
      </c>
      <c r="D55" s="325"/>
      <c r="E55" s="325"/>
      <c r="F55" s="325"/>
      <c r="G55" s="325"/>
      <c r="H55" s="325" t="s">
        <v>3</v>
      </c>
      <c r="I55" s="325" t="s">
        <v>4</v>
      </c>
      <c r="J55" s="325"/>
      <c r="K55" s="325"/>
      <c r="L55" s="2" t="s">
        <v>5</v>
      </c>
      <c r="M55" s="2" t="s">
        <v>6</v>
      </c>
      <c r="N55" s="4" t="s">
        <v>31</v>
      </c>
      <c r="O55" s="4" t="s">
        <v>32</v>
      </c>
    </row>
    <row r="56" spans="1:15" ht="33">
      <c r="A56" s="325"/>
      <c r="B56" s="325"/>
      <c r="C56" s="2" t="s">
        <v>7</v>
      </c>
      <c r="D56" s="2" t="s">
        <v>8</v>
      </c>
      <c r="E56" s="2" t="s">
        <v>9</v>
      </c>
      <c r="F56" s="2" t="s">
        <v>10</v>
      </c>
      <c r="G56" s="2" t="s">
        <v>11</v>
      </c>
      <c r="H56" s="325"/>
      <c r="I56" s="2">
        <v>60</v>
      </c>
      <c r="J56" s="2">
        <v>82</v>
      </c>
      <c r="K56" s="2">
        <v>100</v>
      </c>
      <c r="L56" s="2" t="s">
        <v>12</v>
      </c>
      <c r="M56" s="2">
        <v>12.7</v>
      </c>
      <c r="N56" s="3"/>
      <c r="O56" s="3"/>
    </row>
    <row r="57" spans="1:15">
      <c r="A57" s="6" t="s">
        <v>13</v>
      </c>
      <c r="B57" s="6">
        <f>B58</f>
        <v>111</v>
      </c>
      <c r="C57" s="6">
        <f t="shared" ref="C57:O57" si="10">C58</f>
        <v>4</v>
      </c>
      <c r="D57" s="6">
        <f t="shared" si="10"/>
        <v>68</v>
      </c>
      <c r="E57" s="6">
        <f t="shared" si="10"/>
        <v>9</v>
      </c>
      <c r="F57" s="6">
        <f t="shared" si="10"/>
        <v>2</v>
      </c>
      <c r="G57" s="6">
        <f t="shared" si="10"/>
        <v>18</v>
      </c>
      <c r="H57" s="6">
        <f t="shared" si="10"/>
        <v>346</v>
      </c>
      <c r="I57" s="6">
        <f t="shared" si="10"/>
        <v>2</v>
      </c>
      <c r="J57" s="6">
        <f t="shared" si="10"/>
        <v>0</v>
      </c>
      <c r="K57" s="6">
        <f t="shared" si="10"/>
        <v>0</v>
      </c>
      <c r="L57" s="6">
        <f t="shared" si="10"/>
        <v>0</v>
      </c>
      <c r="M57" s="6">
        <f t="shared" si="10"/>
        <v>0</v>
      </c>
      <c r="N57" s="6">
        <f t="shared" si="10"/>
        <v>0</v>
      </c>
      <c r="O57" s="6">
        <f t="shared" si="10"/>
        <v>0</v>
      </c>
    </row>
    <row r="58" spans="1:15">
      <c r="A58" s="7" t="s">
        <v>334</v>
      </c>
      <c r="B58" s="8">
        <v>111</v>
      </c>
      <c r="C58" s="8">
        <v>4</v>
      </c>
      <c r="D58" s="8">
        <v>68</v>
      </c>
      <c r="E58" s="8">
        <v>9</v>
      </c>
      <c r="F58" s="8">
        <v>2</v>
      </c>
      <c r="G58" s="8">
        <v>18</v>
      </c>
      <c r="H58" s="8">
        <v>346</v>
      </c>
      <c r="I58" s="8">
        <v>2</v>
      </c>
      <c r="J58" s="8"/>
      <c r="K58" s="8"/>
      <c r="L58" s="8"/>
      <c r="M58" s="8"/>
      <c r="N58" s="3"/>
      <c r="O58" s="3"/>
    </row>
    <row r="59" spans="1:15">
      <c r="A59" s="6" t="s">
        <v>14</v>
      </c>
      <c r="B59" s="6">
        <f t="shared" ref="B59:I59" si="11">SUM(B60:B60)</f>
        <v>2</v>
      </c>
      <c r="C59" s="6">
        <f t="shared" si="11"/>
        <v>0</v>
      </c>
      <c r="D59" s="6">
        <f t="shared" si="11"/>
        <v>1</v>
      </c>
      <c r="E59" s="6">
        <f t="shared" si="11"/>
        <v>0</v>
      </c>
      <c r="F59" s="6">
        <f t="shared" si="11"/>
        <v>0</v>
      </c>
      <c r="G59" s="6">
        <f t="shared" si="11"/>
        <v>0</v>
      </c>
      <c r="H59" s="6">
        <f t="shared" si="11"/>
        <v>4</v>
      </c>
      <c r="I59" s="6">
        <f t="shared" si="11"/>
        <v>0</v>
      </c>
      <c r="J59" s="6">
        <v>0</v>
      </c>
      <c r="K59" s="6">
        <f>SUM(K60:K60)</f>
        <v>0</v>
      </c>
      <c r="L59" s="6">
        <f>SUM(L60:L60)</f>
        <v>0</v>
      </c>
      <c r="M59" s="6">
        <f>SUM(M60:M60)</f>
        <v>0</v>
      </c>
      <c r="N59" s="6">
        <f>SUM(N60:N60)</f>
        <v>0</v>
      </c>
      <c r="O59" s="6">
        <f>SUM(O60:O60)</f>
        <v>0</v>
      </c>
    </row>
    <row r="60" spans="1:15" ht="18.399999999999999" customHeight="1">
      <c r="A60" s="9" t="s">
        <v>335</v>
      </c>
      <c r="B60" s="8">
        <v>2</v>
      </c>
      <c r="C60" s="8"/>
      <c r="D60" s="8">
        <v>1</v>
      </c>
      <c r="E60" s="8"/>
      <c r="F60" s="8"/>
      <c r="G60" s="8"/>
      <c r="H60" s="8">
        <v>4</v>
      </c>
      <c r="I60" s="8"/>
      <c r="J60" s="8"/>
      <c r="K60" s="8"/>
      <c r="L60" s="8"/>
      <c r="M60" s="8"/>
      <c r="N60" s="3"/>
      <c r="O60" s="3"/>
    </row>
    <row r="61" spans="1:15" ht="18.399999999999999" customHeight="1">
      <c r="A61" s="9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3"/>
      <c r="O61" s="3"/>
    </row>
    <row r="62" spans="1:15">
      <c r="A62" s="12" t="s">
        <v>15</v>
      </c>
      <c r="B62" s="13">
        <f t="shared" ref="B62:O62" si="12">B59+B57</f>
        <v>113</v>
      </c>
      <c r="C62" s="13">
        <f t="shared" si="12"/>
        <v>4</v>
      </c>
      <c r="D62" s="13">
        <f t="shared" si="12"/>
        <v>69</v>
      </c>
      <c r="E62" s="13">
        <f t="shared" si="12"/>
        <v>9</v>
      </c>
      <c r="F62" s="13">
        <f t="shared" si="12"/>
        <v>2</v>
      </c>
      <c r="G62" s="13">
        <f t="shared" si="12"/>
        <v>18</v>
      </c>
      <c r="H62" s="13">
        <f t="shared" si="12"/>
        <v>350</v>
      </c>
      <c r="I62" s="13">
        <f t="shared" si="12"/>
        <v>2</v>
      </c>
      <c r="J62" s="13">
        <f t="shared" si="12"/>
        <v>0</v>
      </c>
      <c r="K62" s="13">
        <f t="shared" si="12"/>
        <v>0</v>
      </c>
      <c r="L62" s="13">
        <f t="shared" si="12"/>
        <v>0</v>
      </c>
      <c r="M62" s="13">
        <f t="shared" si="12"/>
        <v>0</v>
      </c>
      <c r="N62" s="13">
        <f t="shared" si="12"/>
        <v>0</v>
      </c>
      <c r="O62" s="13">
        <f t="shared" si="12"/>
        <v>0</v>
      </c>
    </row>
    <row r="63" spans="1:15">
      <c r="A63" s="327" t="s">
        <v>26</v>
      </c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</row>
    <row r="64" spans="1:15">
      <c r="A64" s="327"/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</row>
    <row r="65" spans="1:15">
      <c r="A65" s="325" t="s">
        <v>0</v>
      </c>
      <c r="B65" s="325" t="s">
        <v>1</v>
      </c>
      <c r="C65" s="325" t="s">
        <v>29</v>
      </c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6" t="s">
        <v>30</v>
      </c>
      <c r="O65" s="326"/>
    </row>
    <row r="66" spans="1:15" ht="33">
      <c r="A66" s="325"/>
      <c r="B66" s="325"/>
      <c r="C66" s="325" t="s">
        <v>2</v>
      </c>
      <c r="D66" s="325"/>
      <c r="E66" s="325"/>
      <c r="F66" s="325"/>
      <c r="G66" s="325"/>
      <c r="H66" s="325" t="s">
        <v>3</v>
      </c>
      <c r="I66" s="325" t="s">
        <v>4</v>
      </c>
      <c r="J66" s="325"/>
      <c r="K66" s="325"/>
      <c r="L66" s="2" t="s">
        <v>5</v>
      </c>
      <c r="M66" s="2" t="s">
        <v>6</v>
      </c>
      <c r="N66" s="4" t="s">
        <v>31</v>
      </c>
      <c r="O66" s="4" t="s">
        <v>32</v>
      </c>
    </row>
    <row r="67" spans="1:15" ht="33">
      <c r="A67" s="325"/>
      <c r="B67" s="325"/>
      <c r="C67" s="2" t="s">
        <v>7</v>
      </c>
      <c r="D67" s="2" t="s">
        <v>8</v>
      </c>
      <c r="E67" s="2" t="s">
        <v>9</v>
      </c>
      <c r="F67" s="2" t="s">
        <v>10</v>
      </c>
      <c r="G67" s="2" t="s">
        <v>11</v>
      </c>
      <c r="H67" s="325"/>
      <c r="I67" s="2">
        <v>60</v>
      </c>
      <c r="J67" s="2">
        <v>82</v>
      </c>
      <c r="K67" s="2">
        <v>100</v>
      </c>
      <c r="L67" s="2" t="s">
        <v>12</v>
      </c>
      <c r="M67" s="2">
        <v>12.7</v>
      </c>
      <c r="N67" s="3"/>
      <c r="O67" s="3"/>
    </row>
    <row r="68" spans="1:15">
      <c r="A68" s="6" t="s">
        <v>13</v>
      </c>
      <c r="B68" s="6">
        <f>B69</f>
        <v>104</v>
      </c>
      <c r="C68" s="6">
        <f t="shared" ref="C68:O68" si="13">C69</f>
        <v>6</v>
      </c>
      <c r="D68" s="6">
        <f t="shared" si="13"/>
        <v>53</v>
      </c>
      <c r="E68" s="6">
        <f t="shared" si="13"/>
        <v>0</v>
      </c>
      <c r="F68" s="6">
        <f t="shared" si="13"/>
        <v>0</v>
      </c>
      <c r="G68" s="6">
        <f t="shared" si="13"/>
        <v>6</v>
      </c>
      <c r="H68" s="6">
        <f t="shared" si="13"/>
        <v>208</v>
      </c>
      <c r="I68" s="6">
        <f t="shared" si="13"/>
        <v>0</v>
      </c>
      <c r="J68" s="6">
        <f t="shared" si="13"/>
        <v>0</v>
      </c>
      <c r="K68" s="6">
        <f t="shared" si="13"/>
        <v>0</v>
      </c>
      <c r="L68" s="6">
        <f t="shared" si="13"/>
        <v>0</v>
      </c>
      <c r="M68" s="6">
        <f t="shared" si="13"/>
        <v>0</v>
      </c>
      <c r="N68" s="6">
        <f t="shared" si="13"/>
        <v>0</v>
      </c>
      <c r="O68" s="6">
        <f t="shared" si="13"/>
        <v>0</v>
      </c>
    </row>
    <row r="69" spans="1:15">
      <c r="A69" s="14" t="s">
        <v>27</v>
      </c>
      <c r="B69" s="14">
        <v>104</v>
      </c>
      <c r="C69" s="14">
        <v>6</v>
      </c>
      <c r="D69" s="14">
        <v>53</v>
      </c>
      <c r="E69" s="14"/>
      <c r="G69" s="14">
        <v>6</v>
      </c>
      <c r="H69" s="14">
        <v>208</v>
      </c>
      <c r="I69" s="14"/>
      <c r="J69" s="14"/>
      <c r="K69" s="14"/>
      <c r="L69" s="14"/>
      <c r="M69" s="14"/>
      <c r="N69" s="14"/>
      <c r="O69" s="14"/>
    </row>
    <row r="70" spans="1:15" ht="37.5">
      <c r="A70" s="6" t="s">
        <v>28</v>
      </c>
      <c r="B70" s="6">
        <f>SUM(B71:B80)</f>
        <v>280</v>
      </c>
      <c r="C70" s="6">
        <f t="shared" ref="C70:O70" si="14">SUM(C71:C80)</f>
        <v>16</v>
      </c>
      <c r="D70" s="6">
        <f t="shared" si="14"/>
        <v>107</v>
      </c>
      <c r="E70" s="6">
        <f t="shared" si="14"/>
        <v>0</v>
      </c>
      <c r="F70" s="6">
        <f t="shared" si="14"/>
        <v>0</v>
      </c>
      <c r="G70" s="6">
        <f t="shared" si="14"/>
        <v>0</v>
      </c>
      <c r="H70" s="6">
        <f t="shared" si="14"/>
        <v>485</v>
      </c>
      <c r="I70" s="6">
        <f t="shared" si="14"/>
        <v>4</v>
      </c>
      <c r="J70" s="6">
        <f t="shared" si="14"/>
        <v>3</v>
      </c>
      <c r="K70" s="6">
        <f t="shared" si="14"/>
        <v>3</v>
      </c>
      <c r="L70" s="6">
        <f>SUM(L71:L80)</f>
        <v>4</v>
      </c>
      <c r="M70" s="6">
        <f t="shared" si="14"/>
        <v>0</v>
      </c>
      <c r="N70" s="6">
        <f t="shared" si="14"/>
        <v>0</v>
      </c>
      <c r="O70" s="6">
        <f t="shared" si="14"/>
        <v>0</v>
      </c>
    </row>
    <row r="71" spans="1:15">
      <c r="A71" s="9" t="s">
        <v>336</v>
      </c>
      <c r="B71" s="8">
        <v>74</v>
      </c>
      <c r="C71" s="8">
        <v>4</v>
      </c>
      <c r="D71" s="8">
        <v>30</v>
      </c>
      <c r="E71" s="8">
        <v>0</v>
      </c>
      <c r="G71" s="8">
        <v>0</v>
      </c>
      <c r="H71" s="8">
        <v>139</v>
      </c>
      <c r="I71" s="8">
        <v>4</v>
      </c>
      <c r="J71" s="8">
        <v>0</v>
      </c>
      <c r="K71" s="8">
        <v>0</v>
      </c>
      <c r="L71" s="8">
        <v>4</v>
      </c>
      <c r="M71" s="8"/>
      <c r="N71" s="3"/>
      <c r="O71" s="3"/>
    </row>
    <row r="72" spans="1:15">
      <c r="A72" s="9" t="s">
        <v>337</v>
      </c>
      <c r="B72" s="8">
        <v>40</v>
      </c>
      <c r="C72" s="8">
        <v>4</v>
      </c>
      <c r="D72" s="8">
        <v>15</v>
      </c>
      <c r="E72" s="8">
        <v>0</v>
      </c>
      <c r="G72" s="8">
        <v>0</v>
      </c>
      <c r="H72" s="8">
        <v>72</v>
      </c>
      <c r="I72" s="8">
        <v>0</v>
      </c>
      <c r="J72" s="8">
        <v>3</v>
      </c>
      <c r="K72" s="8">
        <v>0</v>
      </c>
      <c r="L72" s="8"/>
      <c r="M72" s="8"/>
      <c r="N72" s="3"/>
      <c r="O72" s="3"/>
    </row>
    <row r="73" spans="1:15">
      <c r="A73" s="9" t="s">
        <v>338</v>
      </c>
      <c r="B73" s="8">
        <v>47</v>
      </c>
      <c r="C73" s="8">
        <v>4</v>
      </c>
      <c r="D73" s="8">
        <v>15</v>
      </c>
      <c r="E73" s="8">
        <v>0</v>
      </c>
      <c r="G73" s="8">
        <v>0</v>
      </c>
      <c r="H73" s="8">
        <v>86</v>
      </c>
      <c r="I73" s="8">
        <v>0</v>
      </c>
      <c r="J73" s="8">
        <v>0</v>
      </c>
      <c r="K73" s="8">
        <v>3</v>
      </c>
      <c r="L73" s="8"/>
      <c r="M73" s="8"/>
      <c r="N73" s="3"/>
      <c r="O73" s="3"/>
    </row>
    <row r="74" spans="1:15">
      <c r="A74" s="9" t="s">
        <v>339</v>
      </c>
      <c r="B74" s="8">
        <v>66</v>
      </c>
      <c r="C74" s="8">
        <v>4</v>
      </c>
      <c r="D74" s="8">
        <v>23</v>
      </c>
      <c r="E74" s="8">
        <v>0</v>
      </c>
      <c r="G74" s="8">
        <v>0</v>
      </c>
      <c r="H74" s="8">
        <v>70</v>
      </c>
      <c r="I74" s="8">
        <v>0</v>
      </c>
      <c r="J74" s="8">
        <v>0</v>
      </c>
      <c r="K74" s="8">
        <v>0</v>
      </c>
      <c r="L74" s="8"/>
      <c r="M74" s="8"/>
      <c r="N74" s="3"/>
      <c r="O74" s="3"/>
    </row>
    <row r="75" spans="1:15">
      <c r="A75" s="10" t="s">
        <v>340</v>
      </c>
      <c r="B75" s="11">
        <v>19</v>
      </c>
      <c r="C75" s="11">
        <v>0</v>
      </c>
      <c r="D75" s="11">
        <v>10</v>
      </c>
      <c r="E75" s="11">
        <v>0</v>
      </c>
      <c r="G75" s="11">
        <v>0</v>
      </c>
      <c r="H75" s="11">
        <v>50</v>
      </c>
      <c r="I75" s="11">
        <v>0</v>
      </c>
      <c r="J75" s="11">
        <v>0</v>
      </c>
      <c r="K75" s="11">
        <v>0</v>
      </c>
      <c r="L75" s="11"/>
      <c r="M75" s="11"/>
      <c r="N75" s="3"/>
      <c r="O75" s="3"/>
    </row>
    <row r="76" spans="1:15">
      <c r="A76" s="10" t="s">
        <v>20</v>
      </c>
      <c r="B76" s="11">
        <v>3</v>
      </c>
      <c r="C76" s="11">
        <v>0</v>
      </c>
      <c r="D76" s="11">
        <v>3</v>
      </c>
      <c r="E76" s="11">
        <v>0</v>
      </c>
      <c r="G76" s="11">
        <v>0</v>
      </c>
      <c r="H76" s="11">
        <v>6</v>
      </c>
      <c r="I76" s="11">
        <v>0</v>
      </c>
      <c r="J76" s="11">
        <v>0</v>
      </c>
      <c r="K76" s="11">
        <v>0</v>
      </c>
      <c r="L76" s="11"/>
      <c r="M76" s="11"/>
      <c r="N76" s="3"/>
      <c r="O76" s="3"/>
    </row>
    <row r="77" spans="1:15">
      <c r="A77" s="10" t="s">
        <v>341</v>
      </c>
      <c r="B77" s="11">
        <v>28</v>
      </c>
      <c r="C77" s="11">
        <v>0</v>
      </c>
      <c r="D77" s="11">
        <v>10</v>
      </c>
      <c r="E77" s="11">
        <v>0</v>
      </c>
      <c r="G77" s="11">
        <v>0</v>
      </c>
      <c r="H77" s="11">
        <v>56</v>
      </c>
      <c r="I77" s="11">
        <v>0</v>
      </c>
      <c r="J77" s="11">
        <v>0</v>
      </c>
      <c r="K77" s="11">
        <v>0</v>
      </c>
      <c r="L77" s="11"/>
      <c r="M77" s="11"/>
      <c r="N77" s="3"/>
      <c r="O77" s="3"/>
    </row>
    <row r="78" spans="1:15">
      <c r="A78" s="9" t="s">
        <v>116</v>
      </c>
      <c r="B78" s="8">
        <v>3</v>
      </c>
      <c r="C78" s="8">
        <v>0</v>
      </c>
      <c r="D78" s="8">
        <v>1</v>
      </c>
      <c r="E78" s="8">
        <v>0</v>
      </c>
      <c r="G78" s="8">
        <v>0</v>
      </c>
      <c r="H78" s="8">
        <v>6</v>
      </c>
      <c r="I78" s="8">
        <v>0</v>
      </c>
      <c r="J78" s="8">
        <v>0</v>
      </c>
      <c r="K78" s="8">
        <v>0</v>
      </c>
      <c r="L78" s="8"/>
      <c r="M78" s="8"/>
      <c r="N78" s="3"/>
      <c r="O78" s="3"/>
    </row>
    <row r="79" spans="1:15">
      <c r="A79" s="9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3"/>
      <c r="O79" s="3"/>
    </row>
    <row r="80" spans="1:15">
      <c r="A80" s="9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3"/>
      <c r="O80" s="3"/>
    </row>
    <row r="81" spans="1:15">
      <c r="A81" s="12" t="s">
        <v>15</v>
      </c>
      <c r="B81" s="13">
        <f>B68+B70</f>
        <v>384</v>
      </c>
      <c r="C81" s="13">
        <f t="shared" ref="C81:O81" si="15">C68+C70</f>
        <v>22</v>
      </c>
      <c r="D81" s="13">
        <f t="shared" si="15"/>
        <v>160</v>
      </c>
      <c r="E81" s="13">
        <f t="shared" si="15"/>
        <v>0</v>
      </c>
      <c r="F81" s="13">
        <f t="shared" si="15"/>
        <v>0</v>
      </c>
      <c r="G81" s="13">
        <f t="shared" si="15"/>
        <v>6</v>
      </c>
      <c r="H81" s="13">
        <f t="shared" si="15"/>
        <v>693</v>
      </c>
      <c r="I81" s="13">
        <f t="shared" si="15"/>
        <v>4</v>
      </c>
      <c r="J81" s="13">
        <f t="shared" si="15"/>
        <v>3</v>
      </c>
      <c r="K81" s="13">
        <f t="shared" si="15"/>
        <v>3</v>
      </c>
      <c r="L81" s="13">
        <f t="shared" si="15"/>
        <v>4</v>
      </c>
      <c r="M81" s="13">
        <f t="shared" si="15"/>
        <v>0</v>
      </c>
      <c r="N81" s="13">
        <f t="shared" si="15"/>
        <v>0</v>
      </c>
      <c r="O81" s="13">
        <f t="shared" si="15"/>
        <v>0</v>
      </c>
    </row>
  </sheetData>
  <mergeCells count="40">
    <mergeCell ref="N65:O65"/>
    <mergeCell ref="A63:O64"/>
    <mergeCell ref="A52:O53"/>
    <mergeCell ref="A65:A67"/>
    <mergeCell ref="B65:B67"/>
    <mergeCell ref="C65:M65"/>
    <mergeCell ref="C66:G66"/>
    <mergeCell ref="H66:H67"/>
    <mergeCell ref="I66:K66"/>
    <mergeCell ref="A54:A56"/>
    <mergeCell ref="B54:B56"/>
    <mergeCell ref="C54:M54"/>
    <mergeCell ref="C55:G55"/>
    <mergeCell ref="H55:H56"/>
    <mergeCell ref="I55:K55"/>
    <mergeCell ref="N54:O54"/>
    <mergeCell ref="A1:O2"/>
    <mergeCell ref="N3:O3"/>
    <mergeCell ref="A39:A41"/>
    <mergeCell ref="B39:B41"/>
    <mergeCell ref="C39:M39"/>
    <mergeCell ref="C40:G40"/>
    <mergeCell ref="H40:H41"/>
    <mergeCell ref="I40:K40"/>
    <mergeCell ref="H4:H5"/>
    <mergeCell ref="A22:A24"/>
    <mergeCell ref="B22:B24"/>
    <mergeCell ref="C22:M22"/>
    <mergeCell ref="B3:B5"/>
    <mergeCell ref="C23:G23"/>
    <mergeCell ref="H23:H24"/>
    <mergeCell ref="I23:K23"/>
    <mergeCell ref="A3:A5"/>
    <mergeCell ref="N39:O39"/>
    <mergeCell ref="C4:G4"/>
    <mergeCell ref="I4:K4"/>
    <mergeCell ref="C3:M3"/>
    <mergeCell ref="A20:O21"/>
    <mergeCell ref="N22:O22"/>
    <mergeCell ref="A37:O38"/>
  </mergeCells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A7AD-7384-4000-8A1F-F5D965776A97}">
  <sheetPr codeName="Sheet6">
    <tabColor rgb="FFFFC000"/>
  </sheetPr>
  <dimension ref="A1:G30"/>
  <sheetViews>
    <sheetView zoomScale="70" zoomScaleNormal="70" workbookViewId="0">
      <pane ySplit="3" topLeftCell="A4" activePane="bottomLeft" state="frozen"/>
      <selection pane="bottomLeft" activeCell="D14" sqref="D14"/>
    </sheetView>
  </sheetViews>
  <sheetFormatPr defaultRowHeight="15"/>
  <cols>
    <col min="2" max="2" width="33.7109375" customWidth="1"/>
    <col min="3" max="3" width="13.28515625" customWidth="1"/>
    <col min="4" max="4" width="7.85546875" bestFit="1" customWidth="1"/>
    <col min="6" max="6" width="6.140625" bestFit="1" customWidth="1"/>
  </cols>
  <sheetData>
    <row r="1" spans="1:7" ht="18.75">
      <c r="A1" s="100" t="s">
        <v>263</v>
      </c>
      <c r="B1" s="100"/>
      <c r="C1" s="100"/>
      <c r="D1" s="100"/>
      <c r="E1" s="100"/>
      <c r="F1" s="100"/>
      <c r="G1" s="100"/>
    </row>
    <row r="2" spans="1:7" ht="18.75">
      <c r="A2" s="329" t="s">
        <v>114</v>
      </c>
      <c r="B2" s="329" t="s">
        <v>249</v>
      </c>
      <c r="C2" s="329" t="s">
        <v>87</v>
      </c>
      <c r="D2" s="329" t="s">
        <v>122</v>
      </c>
      <c r="E2" s="329"/>
      <c r="F2" s="329"/>
      <c r="G2" s="329" t="s">
        <v>180</v>
      </c>
    </row>
    <row r="3" spans="1:7" ht="37.5">
      <c r="A3" s="329"/>
      <c r="B3" s="329"/>
      <c r="C3" s="329"/>
      <c r="D3" s="182" t="s">
        <v>264</v>
      </c>
      <c r="E3" s="182" t="s">
        <v>224</v>
      </c>
      <c r="F3" s="182" t="s">
        <v>41</v>
      </c>
      <c r="G3" s="329"/>
    </row>
    <row r="4" spans="1:7" ht="18.75">
      <c r="A4" s="182" t="s">
        <v>260</v>
      </c>
      <c r="B4" s="186" t="s">
        <v>265</v>
      </c>
      <c r="C4" s="101"/>
      <c r="D4" s="8"/>
      <c r="E4" s="8"/>
      <c r="F4" s="8"/>
      <c r="G4" s="8"/>
    </row>
    <row r="5" spans="1:7" ht="18.75">
      <c r="A5" s="101">
        <v>1</v>
      </c>
      <c r="B5" s="102" t="s">
        <v>266</v>
      </c>
      <c r="C5" s="101" t="s">
        <v>267</v>
      </c>
      <c r="D5" s="8">
        <v>0.15</v>
      </c>
      <c r="E5" s="8">
        <v>1</v>
      </c>
      <c r="F5" s="8">
        <f>D5+E5</f>
        <v>1.1499999999999999</v>
      </c>
      <c r="G5" s="8"/>
    </row>
    <row r="6" spans="1:7" ht="18.75">
      <c r="A6" s="101">
        <v>2</v>
      </c>
      <c r="B6" s="102" t="s">
        <v>268</v>
      </c>
      <c r="C6" s="101" t="s">
        <v>269</v>
      </c>
      <c r="D6" s="8">
        <v>0.15</v>
      </c>
      <c r="E6" s="8">
        <v>0.5</v>
      </c>
      <c r="F6" s="8">
        <f t="shared" ref="F6:F30" si="0">D6+E6</f>
        <v>0.65</v>
      </c>
      <c r="G6" s="8"/>
    </row>
    <row r="7" spans="1:7" ht="18.75">
      <c r="A7" s="101">
        <v>3</v>
      </c>
      <c r="B7" s="102" t="s">
        <v>270</v>
      </c>
      <c r="C7" s="101" t="s">
        <v>269</v>
      </c>
      <c r="D7" s="8">
        <v>0.15</v>
      </c>
      <c r="E7" s="8">
        <v>0.5</v>
      </c>
      <c r="F7" s="8">
        <f t="shared" si="0"/>
        <v>0.65</v>
      </c>
      <c r="G7" s="8"/>
    </row>
    <row r="8" spans="1:7" ht="18.75">
      <c r="A8" s="101">
        <v>4</v>
      </c>
      <c r="B8" s="102" t="s">
        <v>271</v>
      </c>
      <c r="C8" s="101" t="s">
        <v>269</v>
      </c>
      <c r="D8" s="8">
        <v>0.15</v>
      </c>
      <c r="E8" s="8">
        <v>0.33</v>
      </c>
      <c r="F8" s="8">
        <f t="shared" si="0"/>
        <v>0.48</v>
      </c>
      <c r="G8" s="8"/>
    </row>
    <row r="9" spans="1:7" ht="18.75">
      <c r="A9" s="101">
        <v>5</v>
      </c>
      <c r="B9" s="102" t="s">
        <v>272</v>
      </c>
      <c r="C9" s="101" t="s">
        <v>269</v>
      </c>
      <c r="D9" s="8">
        <v>0.1</v>
      </c>
      <c r="E9" s="8">
        <v>0.2</v>
      </c>
      <c r="F9" s="8">
        <f t="shared" si="0"/>
        <v>0.30000000000000004</v>
      </c>
      <c r="G9" s="8"/>
    </row>
    <row r="10" spans="1:7" ht="18.75">
      <c r="A10" s="101">
        <v>6</v>
      </c>
      <c r="B10" s="102" t="s">
        <v>273</v>
      </c>
      <c r="C10" s="101" t="s">
        <v>269</v>
      </c>
      <c r="D10" s="8">
        <v>0.1</v>
      </c>
      <c r="E10" s="8">
        <v>0.1</v>
      </c>
      <c r="F10" s="8">
        <f t="shared" si="0"/>
        <v>0.2</v>
      </c>
      <c r="G10" s="8"/>
    </row>
    <row r="11" spans="1:7" ht="18.75">
      <c r="A11" s="101">
        <v>7</v>
      </c>
      <c r="B11" s="102" t="s">
        <v>274</v>
      </c>
      <c r="C11" s="101" t="s">
        <v>269</v>
      </c>
      <c r="D11" s="8">
        <v>0.1</v>
      </c>
      <c r="E11" s="8">
        <v>0.1</v>
      </c>
      <c r="F11" s="8">
        <f t="shared" si="0"/>
        <v>0.2</v>
      </c>
      <c r="G11" s="8"/>
    </row>
    <row r="12" spans="1:7" ht="18.75">
      <c r="A12" s="101">
        <v>8</v>
      </c>
      <c r="B12" s="102" t="s">
        <v>321</v>
      </c>
      <c r="C12" s="101" t="s">
        <v>269</v>
      </c>
      <c r="D12" s="8">
        <v>0</v>
      </c>
      <c r="E12" s="8">
        <v>0</v>
      </c>
      <c r="F12" s="8">
        <v>0</v>
      </c>
      <c r="G12" s="8"/>
    </row>
    <row r="13" spans="1:7" ht="18.75">
      <c r="A13" s="101">
        <v>9</v>
      </c>
      <c r="B13" s="102" t="s">
        <v>275</v>
      </c>
      <c r="C13" s="101" t="s">
        <v>269</v>
      </c>
      <c r="D13" s="8">
        <v>0.15</v>
      </c>
      <c r="E13" s="8">
        <v>0.3</v>
      </c>
      <c r="F13" s="8">
        <f t="shared" si="0"/>
        <v>0.44999999999999996</v>
      </c>
      <c r="G13" s="8"/>
    </row>
    <row r="14" spans="1:7" ht="18.75">
      <c r="A14" s="101">
        <v>10</v>
      </c>
      <c r="B14" s="102" t="s">
        <v>3</v>
      </c>
      <c r="C14" s="101" t="s">
        <v>269</v>
      </c>
      <c r="D14" s="260">
        <v>100</v>
      </c>
      <c r="E14" s="8">
        <v>1444</v>
      </c>
      <c r="F14" s="260">
        <f t="shared" si="0"/>
        <v>1544</v>
      </c>
      <c r="G14" s="8"/>
    </row>
    <row r="15" spans="1:7" ht="18.75">
      <c r="A15" s="182" t="s">
        <v>261</v>
      </c>
      <c r="B15" s="186" t="s">
        <v>276</v>
      </c>
      <c r="C15" s="101"/>
      <c r="D15" s="8"/>
      <c r="E15" s="8"/>
      <c r="F15" s="8"/>
      <c r="G15" s="8"/>
    </row>
    <row r="16" spans="1:7" ht="18.75">
      <c r="A16" s="182" t="s">
        <v>319</v>
      </c>
      <c r="B16" s="186" t="s">
        <v>250</v>
      </c>
      <c r="C16" s="101"/>
      <c r="D16" s="8"/>
      <c r="E16" s="8"/>
      <c r="F16" s="8"/>
      <c r="G16" s="8"/>
    </row>
    <row r="17" spans="1:7" ht="18.75">
      <c r="A17" s="101">
        <v>1</v>
      </c>
      <c r="B17" s="102" t="s">
        <v>277</v>
      </c>
      <c r="C17" s="101" t="s">
        <v>278</v>
      </c>
      <c r="D17" s="8">
        <v>2</v>
      </c>
      <c r="E17" s="8">
        <v>3</v>
      </c>
      <c r="F17" s="8">
        <f t="shared" si="0"/>
        <v>5</v>
      </c>
      <c r="G17" s="8"/>
    </row>
    <row r="18" spans="1:7" ht="18.75">
      <c r="A18" s="101">
        <v>2</v>
      </c>
      <c r="B18" s="102" t="s">
        <v>151</v>
      </c>
      <c r="C18" s="101" t="s">
        <v>278</v>
      </c>
      <c r="D18" s="8">
        <v>1</v>
      </c>
      <c r="E18" s="8">
        <v>1</v>
      </c>
      <c r="F18" s="8">
        <f t="shared" si="0"/>
        <v>2</v>
      </c>
      <c r="G18" s="8"/>
    </row>
    <row r="19" spans="1:7" ht="18.75">
      <c r="A19" s="101">
        <v>3</v>
      </c>
      <c r="B19" s="102" t="s">
        <v>279</v>
      </c>
      <c r="C19" s="101" t="s">
        <v>280</v>
      </c>
      <c r="D19" s="8">
        <v>1</v>
      </c>
      <c r="E19" s="8">
        <v>1</v>
      </c>
      <c r="F19" s="8">
        <f t="shared" si="0"/>
        <v>2</v>
      </c>
      <c r="G19" s="8"/>
    </row>
    <row r="20" spans="1:7" ht="18.75">
      <c r="A20" s="101">
        <v>4</v>
      </c>
      <c r="B20" s="102" t="s">
        <v>281</v>
      </c>
      <c r="C20" s="101" t="s">
        <v>89</v>
      </c>
      <c r="D20" s="8"/>
      <c r="E20" s="8">
        <v>100</v>
      </c>
      <c r="F20" s="8">
        <f t="shared" si="0"/>
        <v>100</v>
      </c>
      <c r="G20" s="8"/>
    </row>
    <row r="21" spans="1:7" ht="18.75">
      <c r="A21" s="101">
        <v>5</v>
      </c>
      <c r="B21" s="102" t="s">
        <v>282</v>
      </c>
      <c r="C21" s="101" t="s">
        <v>269</v>
      </c>
      <c r="D21" s="8"/>
      <c r="E21" s="8">
        <v>100</v>
      </c>
      <c r="F21" s="8">
        <f t="shared" si="0"/>
        <v>100</v>
      </c>
      <c r="G21" s="8"/>
    </row>
    <row r="22" spans="1:7" ht="18.75">
      <c r="A22" s="182" t="s">
        <v>320</v>
      </c>
      <c r="B22" s="186" t="s">
        <v>251</v>
      </c>
      <c r="C22" s="101"/>
      <c r="D22" s="8"/>
      <c r="E22" s="8"/>
      <c r="F22" s="8"/>
      <c r="G22" s="8"/>
    </row>
    <row r="23" spans="1:7" ht="18.75">
      <c r="A23" s="101">
        <v>6</v>
      </c>
      <c r="B23" s="102" t="s">
        <v>283</v>
      </c>
      <c r="C23" s="101" t="s">
        <v>90</v>
      </c>
      <c r="D23" s="8">
        <v>1</v>
      </c>
      <c r="E23" s="8">
        <v>1</v>
      </c>
      <c r="F23" s="8">
        <f t="shared" si="0"/>
        <v>2</v>
      </c>
      <c r="G23" s="8"/>
    </row>
    <row r="24" spans="1:7" ht="18.75">
      <c r="A24" s="101">
        <v>7</v>
      </c>
      <c r="B24" s="102" t="s">
        <v>156</v>
      </c>
      <c r="C24" s="101" t="s">
        <v>269</v>
      </c>
      <c r="D24" s="8">
        <v>2</v>
      </c>
      <c r="E24" s="8">
        <v>5</v>
      </c>
      <c r="F24" s="8">
        <f t="shared" si="0"/>
        <v>7</v>
      </c>
      <c r="G24" s="8"/>
    </row>
    <row r="25" spans="1:7" ht="18.75">
      <c r="A25" s="101">
        <v>8</v>
      </c>
      <c r="B25" s="102" t="s">
        <v>157</v>
      </c>
      <c r="C25" s="101" t="s">
        <v>269</v>
      </c>
      <c r="D25" s="8">
        <v>1</v>
      </c>
      <c r="E25" s="8">
        <v>8</v>
      </c>
      <c r="F25" s="8">
        <f t="shared" si="0"/>
        <v>9</v>
      </c>
      <c r="G25" s="8"/>
    </row>
    <row r="26" spans="1:7" ht="18.75">
      <c r="A26" s="101">
        <v>9</v>
      </c>
      <c r="B26" s="102" t="s">
        <v>284</v>
      </c>
      <c r="C26" s="101" t="s">
        <v>285</v>
      </c>
      <c r="D26" s="8"/>
      <c r="E26" s="8">
        <v>1</v>
      </c>
      <c r="F26" s="8">
        <f t="shared" si="0"/>
        <v>1</v>
      </c>
      <c r="G26" s="8"/>
    </row>
    <row r="27" spans="1:7" ht="18.75">
      <c r="A27" s="182" t="s">
        <v>322</v>
      </c>
      <c r="B27" s="186" t="s">
        <v>252</v>
      </c>
      <c r="C27" s="101"/>
      <c r="D27" s="8"/>
      <c r="E27" s="8"/>
      <c r="F27" s="8"/>
      <c r="G27" s="8"/>
    </row>
    <row r="28" spans="1:7" ht="18.75">
      <c r="A28" s="101">
        <v>10</v>
      </c>
      <c r="B28" s="102" t="s">
        <v>84</v>
      </c>
      <c r="C28" s="101" t="s">
        <v>286</v>
      </c>
      <c r="D28" s="8">
        <v>2</v>
      </c>
      <c r="E28" s="8">
        <v>3</v>
      </c>
      <c r="F28" s="8">
        <f t="shared" si="0"/>
        <v>5</v>
      </c>
      <c r="G28" s="8"/>
    </row>
    <row r="29" spans="1:7" ht="18.75">
      <c r="A29" s="182" t="s">
        <v>287</v>
      </c>
      <c r="B29" s="186" t="s">
        <v>288</v>
      </c>
      <c r="C29" s="101"/>
      <c r="D29" s="8"/>
      <c r="E29" s="8"/>
      <c r="F29" s="8"/>
      <c r="G29" s="8"/>
    </row>
    <row r="30" spans="1:7" ht="18.75">
      <c r="A30" s="101">
        <v>1</v>
      </c>
      <c r="B30" s="102" t="s">
        <v>289</v>
      </c>
      <c r="C30" s="101" t="s">
        <v>43</v>
      </c>
      <c r="D30" s="8">
        <v>0.1</v>
      </c>
      <c r="E30" s="8">
        <v>0.1</v>
      </c>
      <c r="F30" s="8">
        <f t="shared" si="0"/>
        <v>0.2</v>
      </c>
      <c r="G30" s="8"/>
    </row>
  </sheetData>
  <mergeCells count="5">
    <mergeCell ref="A2:A3"/>
    <mergeCell ref="B2:B3"/>
    <mergeCell ref="C2:C3"/>
    <mergeCell ref="D2:F2"/>
    <mergeCell ref="G2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8E84-67C0-4CA1-8760-469EA7C63846}">
  <sheetPr codeName="Sheet7">
    <tabColor rgb="FFFFC000"/>
  </sheetPr>
  <dimension ref="A1:H40"/>
  <sheetViews>
    <sheetView zoomScale="70" zoomScaleNormal="70" workbookViewId="0">
      <pane ySplit="3" topLeftCell="A6" activePane="bottomLeft" state="frozen"/>
      <selection pane="bottomLeft" activeCell="D15" sqref="D15"/>
    </sheetView>
  </sheetViews>
  <sheetFormatPr defaultRowHeight="15"/>
  <cols>
    <col min="2" max="2" width="43.28515625" customWidth="1"/>
    <col min="5" max="5" width="10.7109375" customWidth="1"/>
    <col min="6" max="6" width="13" customWidth="1"/>
  </cols>
  <sheetData>
    <row r="1" spans="1:8" ht="18.75">
      <c r="A1" s="330" t="s">
        <v>300</v>
      </c>
      <c r="B1" s="330"/>
      <c r="C1" s="330"/>
      <c r="D1" s="330"/>
      <c r="E1" s="330"/>
      <c r="F1" s="330"/>
      <c r="G1" s="330"/>
      <c r="H1" s="330"/>
    </row>
    <row r="2" spans="1:8" ht="18.75">
      <c r="A2" s="331" t="s">
        <v>114</v>
      </c>
      <c r="B2" s="331" t="s">
        <v>301</v>
      </c>
      <c r="C2" s="331" t="s">
        <v>87</v>
      </c>
      <c r="D2" s="331" t="s">
        <v>142</v>
      </c>
      <c r="E2" s="331" t="s">
        <v>302</v>
      </c>
      <c r="F2" s="331" t="s">
        <v>303</v>
      </c>
      <c r="G2" s="331" t="s">
        <v>121</v>
      </c>
      <c r="H2" s="331"/>
    </row>
    <row r="3" spans="1:8" ht="37.5">
      <c r="A3" s="331"/>
      <c r="B3" s="331"/>
      <c r="C3" s="331"/>
      <c r="D3" s="331"/>
      <c r="E3" s="331"/>
      <c r="F3" s="331"/>
      <c r="G3" s="116" t="s">
        <v>112</v>
      </c>
      <c r="H3" s="116" t="s">
        <v>113</v>
      </c>
    </row>
    <row r="4" spans="1:8" ht="18.75">
      <c r="A4" s="116" t="s">
        <v>260</v>
      </c>
      <c r="B4" s="123" t="s">
        <v>109</v>
      </c>
      <c r="C4" s="124"/>
      <c r="D4" s="124"/>
      <c r="E4" s="124"/>
      <c r="F4" s="124"/>
      <c r="G4" s="124"/>
      <c r="H4" s="124"/>
    </row>
    <row r="5" spans="1:8" ht="18.75">
      <c r="A5" s="124">
        <v>1</v>
      </c>
      <c r="B5" s="119" t="s">
        <v>312</v>
      </c>
      <c r="C5" s="124" t="s">
        <v>124</v>
      </c>
      <c r="D5" s="124">
        <f>F5+G5+H5</f>
        <v>2.2000000000000002</v>
      </c>
      <c r="E5" s="8">
        <v>1.45</v>
      </c>
      <c r="F5" s="8">
        <v>1.2</v>
      </c>
      <c r="G5" s="8"/>
      <c r="H5" s="8">
        <v>1</v>
      </c>
    </row>
    <row r="6" spans="1:8" ht="18.75">
      <c r="A6" s="124">
        <v>2</v>
      </c>
      <c r="B6" s="119" t="s">
        <v>313</v>
      </c>
      <c r="C6" s="124" t="s">
        <v>124</v>
      </c>
      <c r="D6" s="124">
        <f t="shared" ref="D6:D29" si="0">F6+G6+H6</f>
        <v>1.7</v>
      </c>
      <c r="E6" s="8">
        <v>1.45</v>
      </c>
      <c r="F6" s="8">
        <v>0.7</v>
      </c>
      <c r="G6" s="8"/>
      <c r="H6" s="8">
        <v>1</v>
      </c>
    </row>
    <row r="7" spans="1:8" ht="18.75">
      <c r="A7" s="124">
        <v>3</v>
      </c>
      <c r="B7" s="119" t="s">
        <v>314</v>
      </c>
      <c r="C7" s="124" t="s">
        <v>124</v>
      </c>
      <c r="D7" s="124">
        <f t="shared" si="0"/>
        <v>1.7</v>
      </c>
      <c r="E7" s="8">
        <v>1.45</v>
      </c>
      <c r="F7" s="8">
        <v>0.7</v>
      </c>
      <c r="G7" s="8"/>
      <c r="H7" s="8">
        <v>1</v>
      </c>
    </row>
    <row r="8" spans="1:8" ht="18.75">
      <c r="A8" s="124">
        <v>4</v>
      </c>
      <c r="B8" s="119" t="s">
        <v>304</v>
      </c>
      <c r="C8" s="124" t="s">
        <v>124</v>
      </c>
      <c r="D8" s="124">
        <f t="shared" si="0"/>
        <v>2.2999999999999998</v>
      </c>
      <c r="E8" s="8">
        <v>1.75</v>
      </c>
      <c r="F8" s="8">
        <v>0.8</v>
      </c>
      <c r="G8" s="8"/>
      <c r="H8" s="8">
        <v>1.5</v>
      </c>
    </row>
    <row r="9" spans="1:8" ht="18.75">
      <c r="A9" s="124">
        <v>5</v>
      </c>
      <c r="B9" s="119" t="s">
        <v>305</v>
      </c>
      <c r="C9" s="124" t="s">
        <v>124</v>
      </c>
      <c r="D9" s="124">
        <f t="shared" si="0"/>
        <v>1.35</v>
      </c>
      <c r="E9" s="8">
        <v>1</v>
      </c>
      <c r="F9" s="8">
        <v>0.1</v>
      </c>
      <c r="G9" s="8"/>
      <c r="H9" s="8">
        <v>1.25</v>
      </c>
    </row>
    <row r="10" spans="1:8" ht="18.75">
      <c r="A10" s="124">
        <v>6</v>
      </c>
      <c r="B10" s="119" t="s">
        <v>306</v>
      </c>
      <c r="C10" s="124" t="s">
        <v>124</v>
      </c>
      <c r="D10" s="124">
        <f t="shared" si="0"/>
        <v>1.5</v>
      </c>
      <c r="E10" s="8">
        <v>1.1499999999999999</v>
      </c>
      <c r="F10" s="8">
        <v>0.25</v>
      </c>
      <c r="G10" s="8"/>
      <c r="H10" s="8">
        <v>1.25</v>
      </c>
    </row>
    <row r="11" spans="1:8" ht="18.75">
      <c r="A11" s="124">
        <v>7</v>
      </c>
      <c r="B11" s="119" t="s">
        <v>307</v>
      </c>
      <c r="C11" s="124" t="s">
        <v>124</v>
      </c>
      <c r="D11" s="124">
        <f t="shared" si="0"/>
        <v>1.5</v>
      </c>
      <c r="E11" s="8">
        <v>1.1499999999999999</v>
      </c>
      <c r="F11" s="8">
        <v>0.25</v>
      </c>
      <c r="G11" s="8"/>
      <c r="H11" s="8">
        <v>1.25</v>
      </c>
    </row>
    <row r="12" spans="1:8" ht="18.75">
      <c r="A12" s="124">
        <v>8</v>
      </c>
      <c r="B12" s="119" t="s">
        <v>272</v>
      </c>
      <c r="C12" s="124" t="s">
        <v>124</v>
      </c>
      <c r="D12" s="124">
        <f t="shared" si="0"/>
        <v>1.35</v>
      </c>
      <c r="E12" s="8">
        <v>1.1499999999999999</v>
      </c>
      <c r="F12" s="8">
        <v>0.35</v>
      </c>
      <c r="G12" s="8"/>
      <c r="H12" s="8">
        <v>1</v>
      </c>
    </row>
    <row r="13" spans="1:8" ht="18.75">
      <c r="A13" s="124">
        <v>9</v>
      </c>
      <c r="B13" s="119" t="s">
        <v>271</v>
      </c>
      <c r="C13" s="124" t="s">
        <v>124</v>
      </c>
      <c r="D13" s="124">
        <f t="shared" si="0"/>
        <v>1.78</v>
      </c>
      <c r="E13" s="8">
        <v>1.45</v>
      </c>
      <c r="F13" s="8">
        <v>0.53</v>
      </c>
      <c r="G13" s="8"/>
      <c r="H13" s="8">
        <v>1.25</v>
      </c>
    </row>
    <row r="14" spans="1:8" ht="18.75">
      <c r="A14" s="124">
        <v>10</v>
      </c>
      <c r="B14" s="119" t="s">
        <v>3</v>
      </c>
      <c r="C14" s="124" t="s">
        <v>248</v>
      </c>
      <c r="D14" s="124">
        <f t="shared" si="0"/>
        <v>4103</v>
      </c>
      <c r="E14" s="8">
        <v>2603</v>
      </c>
      <c r="F14" s="8">
        <v>2603</v>
      </c>
      <c r="G14" s="8"/>
      <c r="H14" s="8">
        <v>1500</v>
      </c>
    </row>
    <row r="15" spans="1:8" ht="18.75">
      <c r="A15" s="116" t="s">
        <v>261</v>
      </c>
      <c r="B15" s="123" t="s">
        <v>182</v>
      </c>
      <c r="C15" s="124"/>
      <c r="D15" s="124">
        <f t="shared" si="0"/>
        <v>0</v>
      </c>
      <c r="E15" s="8"/>
      <c r="F15" s="8"/>
      <c r="G15" s="8"/>
      <c r="H15" s="8"/>
    </row>
    <row r="16" spans="1:8" ht="18.75">
      <c r="A16" s="116" t="s">
        <v>319</v>
      </c>
      <c r="B16" s="123" t="s">
        <v>250</v>
      </c>
      <c r="C16" s="124"/>
      <c r="D16" s="124"/>
      <c r="E16" s="8"/>
      <c r="F16" s="8"/>
      <c r="G16" s="8"/>
      <c r="H16" s="8"/>
    </row>
    <row r="17" spans="1:8" ht="18.75">
      <c r="A17" s="124">
        <v>1</v>
      </c>
      <c r="B17" s="119" t="s">
        <v>308</v>
      </c>
      <c r="C17" s="124" t="s">
        <v>286</v>
      </c>
      <c r="D17" s="124">
        <f t="shared" si="0"/>
        <v>19</v>
      </c>
      <c r="E17" s="8">
        <v>7</v>
      </c>
      <c r="F17" s="8">
        <v>5</v>
      </c>
      <c r="G17" s="8">
        <v>5</v>
      </c>
      <c r="H17" s="8">
        <v>9</v>
      </c>
    </row>
    <row r="18" spans="1:8" ht="18.75">
      <c r="A18" s="124">
        <v>2</v>
      </c>
      <c r="B18" s="119" t="s">
        <v>151</v>
      </c>
      <c r="C18" s="124" t="s">
        <v>286</v>
      </c>
      <c r="D18" s="124">
        <f t="shared" si="0"/>
        <v>4</v>
      </c>
      <c r="E18" s="8">
        <v>3</v>
      </c>
      <c r="F18" s="8">
        <v>2</v>
      </c>
      <c r="G18" s="8">
        <v>0</v>
      </c>
      <c r="H18" s="8">
        <v>2</v>
      </c>
    </row>
    <row r="19" spans="1:8" ht="18.75">
      <c r="A19" s="124">
        <v>3</v>
      </c>
      <c r="B19" s="119" t="s">
        <v>80</v>
      </c>
      <c r="C19" s="124" t="s">
        <v>89</v>
      </c>
      <c r="D19" s="124">
        <f t="shared" si="0"/>
        <v>22</v>
      </c>
      <c r="E19" s="8">
        <v>13</v>
      </c>
      <c r="F19" s="8">
        <v>8</v>
      </c>
      <c r="G19" s="8"/>
      <c r="H19" s="8">
        <v>14</v>
      </c>
    </row>
    <row r="20" spans="1:8" ht="18.75">
      <c r="A20" s="124">
        <v>4</v>
      </c>
      <c r="B20" s="119" t="s">
        <v>85</v>
      </c>
      <c r="C20" s="124" t="s">
        <v>89</v>
      </c>
      <c r="D20" s="124">
        <f t="shared" si="0"/>
        <v>105</v>
      </c>
      <c r="E20" s="8">
        <v>105</v>
      </c>
      <c r="F20" s="8">
        <v>100</v>
      </c>
      <c r="G20" s="8"/>
      <c r="H20" s="8">
        <v>5</v>
      </c>
    </row>
    <row r="21" spans="1:8" ht="18.75">
      <c r="A21" s="124">
        <v>5</v>
      </c>
      <c r="B21" s="119" t="s">
        <v>82</v>
      </c>
      <c r="C21" s="124" t="s">
        <v>269</v>
      </c>
      <c r="D21" s="124">
        <f t="shared" si="0"/>
        <v>105</v>
      </c>
      <c r="E21" s="8">
        <v>105</v>
      </c>
      <c r="F21" s="8">
        <v>100</v>
      </c>
      <c r="G21" s="8"/>
      <c r="H21" s="8">
        <v>5</v>
      </c>
    </row>
    <row r="22" spans="1:8" ht="18.75">
      <c r="A22" s="116" t="s">
        <v>320</v>
      </c>
      <c r="B22" s="123" t="s">
        <v>251</v>
      </c>
      <c r="C22" s="124"/>
      <c r="D22" s="124"/>
      <c r="E22" s="8"/>
      <c r="F22" s="8"/>
      <c r="G22" s="8"/>
      <c r="H22" s="8"/>
    </row>
    <row r="23" spans="1:8" ht="18.75">
      <c r="A23" s="124">
        <v>7</v>
      </c>
      <c r="B23" s="119" t="s">
        <v>283</v>
      </c>
      <c r="C23" s="124" t="s">
        <v>90</v>
      </c>
      <c r="D23" s="124">
        <f t="shared" si="0"/>
        <v>14</v>
      </c>
      <c r="E23" s="8">
        <v>4</v>
      </c>
      <c r="F23" s="8">
        <v>2</v>
      </c>
      <c r="G23" s="8"/>
      <c r="H23" s="8">
        <v>12</v>
      </c>
    </row>
    <row r="24" spans="1:8" ht="18.75">
      <c r="A24" s="124">
        <v>8</v>
      </c>
      <c r="B24" s="119" t="s">
        <v>156</v>
      </c>
      <c r="C24" s="124" t="s">
        <v>269</v>
      </c>
      <c r="D24" s="124">
        <f t="shared" si="0"/>
        <v>32</v>
      </c>
      <c r="E24" s="8">
        <v>18</v>
      </c>
      <c r="F24" s="8">
        <v>8</v>
      </c>
      <c r="G24" s="8"/>
      <c r="H24" s="8">
        <v>24</v>
      </c>
    </row>
    <row r="25" spans="1:8" ht="18.75">
      <c r="A25" s="124">
        <v>9</v>
      </c>
      <c r="B25" s="119" t="s">
        <v>157</v>
      </c>
      <c r="C25" s="124" t="s">
        <v>269</v>
      </c>
      <c r="D25" s="124">
        <f t="shared" si="0"/>
        <v>43</v>
      </c>
      <c r="E25" s="8">
        <v>24</v>
      </c>
      <c r="F25" s="8">
        <v>10</v>
      </c>
      <c r="G25" s="8"/>
      <c r="H25" s="8">
        <v>33</v>
      </c>
    </row>
    <row r="26" spans="1:8" ht="18.75">
      <c r="A26" s="124">
        <v>10</v>
      </c>
      <c r="B26" s="119" t="s">
        <v>284</v>
      </c>
      <c r="C26" s="124" t="s">
        <v>91</v>
      </c>
      <c r="D26" s="124">
        <f t="shared" si="0"/>
        <v>3</v>
      </c>
      <c r="E26" s="8">
        <v>2</v>
      </c>
      <c r="F26" s="8">
        <v>2</v>
      </c>
      <c r="G26" s="8"/>
      <c r="H26" s="8">
        <v>1</v>
      </c>
    </row>
    <row r="27" spans="1:8" ht="18.75">
      <c r="A27" s="116" t="s">
        <v>320</v>
      </c>
      <c r="B27" s="123" t="s">
        <v>318</v>
      </c>
      <c r="C27" s="124"/>
      <c r="D27" s="124"/>
      <c r="E27" s="8"/>
      <c r="F27" s="8"/>
      <c r="G27" s="8"/>
      <c r="H27" s="8"/>
    </row>
    <row r="28" spans="1:8" ht="18.75">
      <c r="A28" s="124">
        <v>12</v>
      </c>
      <c r="B28" s="119" t="s">
        <v>84</v>
      </c>
      <c r="C28" s="124" t="s">
        <v>286</v>
      </c>
      <c r="D28" s="124">
        <f t="shared" si="0"/>
        <v>19</v>
      </c>
      <c r="E28" s="8">
        <v>7</v>
      </c>
      <c r="F28" s="8">
        <v>5</v>
      </c>
      <c r="G28" s="8">
        <v>5</v>
      </c>
      <c r="H28" s="8">
        <v>9</v>
      </c>
    </row>
    <row r="29" spans="1:8" ht="18.75">
      <c r="A29" s="116" t="s">
        <v>287</v>
      </c>
      <c r="B29" s="123" t="s">
        <v>296</v>
      </c>
      <c r="C29" s="124" t="s">
        <v>43</v>
      </c>
      <c r="D29" s="124">
        <f t="shared" si="0"/>
        <v>1.1000000000000001</v>
      </c>
      <c r="E29" s="8">
        <v>1</v>
      </c>
      <c r="F29" s="8">
        <v>0.5</v>
      </c>
      <c r="G29" s="8">
        <v>0.1</v>
      </c>
      <c r="H29" s="8">
        <v>0.5</v>
      </c>
    </row>
    <row r="30" spans="1:8" ht="18.75">
      <c r="A30" s="280"/>
      <c r="B30" s="280"/>
      <c r="C30" s="280"/>
      <c r="D30" s="100"/>
      <c r="E30" s="100"/>
      <c r="F30" s="100"/>
      <c r="G30" s="100"/>
      <c r="H30" s="100"/>
    </row>
    <row r="31" spans="1:8" ht="18.75">
      <c r="A31" s="100"/>
      <c r="B31" s="281"/>
      <c r="C31" s="100"/>
      <c r="D31" s="100"/>
      <c r="E31" s="100"/>
      <c r="F31" s="100"/>
      <c r="G31" s="100"/>
      <c r="H31" s="100"/>
    </row>
    <row r="32" spans="1:8" ht="18.75">
      <c r="A32" s="100"/>
      <c r="B32" s="281"/>
      <c r="C32" s="100"/>
      <c r="D32" s="100"/>
      <c r="E32" s="100"/>
      <c r="F32" s="100"/>
      <c r="G32" s="100"/>
      <c r="H32" s="100"/>
    </row>
    <row r="33" spans="1:8" ht="18.75">
      <c r="A33" s="100"/>
      <c r="B33" s="281"/>
      <c r="C33" s="100"/>
      <c r="D33" s="100"/>
      <c r="E33" s="100"/>
      <c r="F33" s="100"/>
      <c r="G33" s="100"/>
      <c r="H33" s="100"/>
    </row>
    <row r="34" spans="1:8" ht="18.75">
      <c r="A34" s="100"/>
      <c r="B34" s="281"/>
      <c r="C34" s="100"/>
      <c r="D34" s="100"/>
      <c r="E34" s="100"/>
      <c r="F34" s="100"/>
      <c r="G34" s="100"/>
      <c r="H34" s="100"/>
    </row>
    <row r="35" spans="1:8" ht="18.75">
      <c r="A35" s="100"/>
      <c r="B35" s="281"/>
      <c r="C35" s="100"/>
      <c r="D35" s="100"/>
      <c r="E35" s="100"/>
      <c r="F35" s="100"/>
      <c r="G35" s="100"/>
      <c r="H35" s="100"/>
    </row>
    <row r="36" spans="1:8" ht="18.75">
      <c r="A36" s="280"/>
      <c r="B36" s="100"/>
      <c r="C36" s="100"/>
      <c r="D36" s="100"/>
      <c r="E36" s="100"/>
      <c r="F36" s="100"/>
      <c r="G36" s="100"/>
      <c r="H36" s="100"/>
    </row>
    <row r="37" spans="1:8" ht="18.75">
      <c r="A37" s="100"/>
      <c r="B37" s="281"/>
      <c r="C37" s="100"/>
      <c r="D37" s="100"/>
      <c r="E37" s="100"/>
      <c r="F37" s="100"/>
      <c r="G37" s="100"/>
      <c r="H37" s="100"/>
    </row>
    <row r="38" spans="1:8" ht="18.75">
      <c r="A38" s="100"/>
      <c r="B38" s="281"/>
      <c r="C38" s="100"/>
      <c r="D38" s="100"/>
      <c r="E38" s="100"/>
      <c r="F38" s="100"/>
      <c r="G38" s="100"/>
      <c r="H38" s="100"/>
    </row>
    <row r="39" spans="1:8" ht="18.75">
      <c r="A39" s="100"/>
      <c r="B39" s="281"/>
      <c r="C39" s="100"/>
      <c r="D39" s="100"/>
      <c r="E39" s="100"/>
      <c r="F39" s="100"/>
      <c r="G39" s="100"/>
      <c r="H39" s="100"/>
    </row>
    <row r="40" spans="1:8" ht="18.75">
      <c r="A40" s="100"/>
      <c r="B40" s="281"/>
      <c r="C40" s="100"/>
      <c r="D40" s="100"/>
      <c r="E40" s="100"/>
      <c r="F40" s="100"/>
      <c r="G40" s="100"/>
      <c r="H40" s="100"/>
    </row>
  </sheetData>
  <mergeCells count="8">
    <mergeCell ref="A1:H1"/>
    <mergeCell ref="A2:A3"/>
    <mergeCell ref="B2:B3"/>
    <mergeCell ref="C2:C3"/>
    <mergeCell ref="D2:D3"/>
    <mergeCell ref="E2:E3"/>
    <mergeCell ref="F2:F3"/>
    <mergeCell ref="G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511A-F3DF-4398-8292-050A3216C840}">
  <sheetPr codeName="Sheet9">
    <tabColor theme="8"/>
  </sheetPr>
  <dimension ref="A1:E8"/>
  <sheetViews>
    <sheetView workbookViewId="0">
      <selection activeCell="C4" sqref="C4"/>
    </sheetView>
  </sheetViews>
  <sheetFormatPr defaultRowHeight="15"/>
  <cols>
    <col min="2" max="2" width="14.7109375" customWidth="1"/>
  </cols>
  <sheetData>
    <row r="1" spans="1:5">
      <c r="A1" t="s">
        <v>297</v>
      </c>
    </row>
    <row r="2" spans="1:5">
      <c r="A2" s="251" t="s">
        <v>223</v>
      </c>
      <c r="B2" s="251" t="s">
        <v>298</v>
      </c>
      <c r="C2" s="251" t="s">
        <v>122</v>
      </c>
      <c r="D2" s="251" t="s">
        <v>120</v>
      </c>
      <c r="E2" s="251" t="s">
        <v>145</v>
      </c>
    </row>
    <row r="3" spans="1:5">
      <c r="A3" s="251">
        <v>1</v>
      </c>
      <c r="B3" s="251" t="s">
        <v>299</v>
      </c>
      <c r="C3" s="252">
        <f>Đạn!Q28+Đạn!N28</f>
        <v>8.9583008</v>
      </c>
      <c r="D3" s="252">
        <f>Đạn!D28</f>
        <v>43.555226400000002</v>
      </c>
      <c r="E3" s="252">
        <f>D3-C3</f>
        <v>34.596925600000006</v>
      </c>
    </row>
    <row r="4" spans="1:5">
      <c r="A4" s="251">
        <v>2</v>
      </c>
      <c r="B4" s="251" t="s">
        <v>250</v>
      </c>
      <c r="C4" s="253">
        <f>VCHCVTKT!P8</f>
        <v>11.082058</v>
      </c>
      <c r="D4" s="253">
        <f>VCHCVTKT!F8</f>
        <v>27.976805999999996</v>
      </c>
      <c r="E4" s="253">
        <f>D4-C4</f>
        <v>16.894747999999996</v>
      </c>
    </row>
    <row r="5" spans="1:5">
      <c r="A5" s="251">
        <v>3</v>
      </c>
      <c r="B5" s="251" t="s">
        <v>251</v>
      </c>
      <c r="C5" s="253">
        <f>VCHCVTKT!P14</f>
        <v>0.12807000000000002</v>
      </c>
      <c r="D5" s="253">
        <f>VCHCVTKT!F14</f>
        <v>0.42214000000000002</v>
      </c>
      <c r="E5" s="253">
        <f t="shared" ref="E5:E7" si="0">D5-C5</f>
        <v>0.29407</v>
      </c>
    </row>
    <row r="6" spans="1:5">
      <c r="A6" s="251">
        <v>4</v>
      </c>
      <c r="B6" s="251" t="s">
        <v>252</v>
      </c>
      <c r="C6" s="253">
        <f>VCHCVTKT!P19</f>
        <v>6.8250000000000005E-2</v>
      </c>
      <c r="D6" s="253">
        <f>VCHCVTKT!F19</f>
        <v>0.31698333333333334</v>
      </c>
      <c r="E6" s="253">
        <f t="shared" si="0"/>
        <v>0.24873333333333333</v>
      </c>
    </row>
    <row r="7" spans="1:5">
      <c r="A7" s="251">
        <v>5</v>
      </c>
      <c r="B7" s="251" t="s">
        <v>296</v>
      </c>
      <c r="C7" s="253">
        <f>VCHCVTKT!P21</f>
        <v>0.2</v>
      </c>
      <c r="D7" s="254">
        <f>VCHCVTKT!F21</f>
        <v>1.1000000000000001</v>
      </c>
      <c r="E7" s="253">
        <f t="shared" si="0"/>
        <v>0.90000000000000013</v>
      </c>
    </row>
    <row r="8" spans="1:5">
      <c r="A8" s="251"/>
      <c r="B8" s="255" t="s">
        <v>37</v>
      </c>
      <c r="C8" s="253">
        <f>C4+C5+C6+C7+C3</f>
        <v>20.436678799999999</v>
      </c>
      <c r="D8" s="253">
        <f t="shared" ref="D8:E8" si="1">D4+D5+D6+D7+D3</f>
        <v>73.371155733333325</v>
      </c>
      <c r="E8" s="253">
        <f t="shared" si="1"/>
        <v>52.934476933333336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7385-00B9-4C18-A172-2F8DDFF9EAB8}">
  <sheetPr codeName="Sheet8">
    <tabColor theme="8"/>
  </sheetPr>
  <dimension ref="A1:I18"/>
  <sheetViews>
    <sheetView zoomScale="85" zoomScaleNormal="85" workbookViewId="0">
      <selection activeCell="D10" sqref="D10"/>
    </sheetView>
  </sheetViews>
  <sheetFormatPr defaultRowHeight="15"/>
  <cols>
    <col min="2" max="2" width="33.28515625" customWidth="1"/>
    <col min="3" max="3" width="13" customWidth="1"/>
  </cols>
  <sheetData>
    <row r="1" spans="1:9" ht="21" thickBot="1">
      <c r="A1" s="103" t="s">
        <v>253</v>
      </c>
    </row>
    <row r="2" spans="1:9" ht="19.5" thickBot="1">
      <c r="A2" s="332" t="s">
        <v>114</v>
      </c>
      <c r="B2" s="332" t="s">
        <v>290</v>
      </c>
      <c r="C2" s="332" t="s">
        <v>87</v>
      </c>
      <c r="D2" s="334" t="s">
        <v>291</v>
      </c>
      <c r="E2" s="335"/>
      <c r="F2" s="336"/>
      <c r="G2" s="334" t="s">
        <v>292</v>
      </c>
      <c r="H2" s="335"/>
      <c r="I2" s="336"/>
    </row>
    <row r="3" spans="1:9" ht="19.5" thickBot="1">
      <c r="A3" s="333"/>
      <c r="B3" s="333"/>
      <c r="C3" s="333"/>
      <c r="D3" s="105" t="s">
        <v>254</v>
      </c>
      <c r="E3" s="105" t="s">
        <v>224</v>
      </c>
      <c r="F3" s="105" t="s">
        <v>15</v>
      </c>
      <c r="G3" s="105" t="s">
        <v>254</v>
      </c>
      <c r="H3" s="106" t="s">
        <v>224</v>
      </c>
      <c r="I3" s="107" t="s">
        <v>15</v>
      </c>
    </row>
    <row r="4" spans="1:9" ht="19.5" thickBot="1">
      <c r="A4" s="104" t="s">
        <v>260</v>
      </c>
      <c r="B4" s="107" t="s">
        <v>182</v>
      </c>
      <c r="C4" s="107"/>
      <c r="D4" s="105"/>
      <c r="E4" s="105"/>
      <c r="F4" s="105"/>
      <c r="G4" s="105"/>
      <c r="H4" s="106"/>
      <c r="I4" s="107"/>
    </row>
    <row r="5" spans="1:9" ht="19.5" thickBot="1">
      <c r="A5" s="104"/>
      <c r="B5" s="107" t="s">
        <v>250</v>
      </c>
      <c r="C5" s="107"/>
      <c r="D5" s="105"/>
      <c r="E5" s="105"/>
      <c r="F5" s="105"/>
      <c r="G5" s="105"/>
      <c r="H5" s="106"/>
      <c r="I5" s="107"/>
    </row>
    <row r="6" spans="1:9" ht="19.5" thickBot="1">
      <c r="A6" s="108">
        <v>1</v>
      </c>
      <c r="B6" s="109" t="s">
        <v>293</v>
      </c>
      <c r="C6" s="110" t="s">
        <v>278</v>
      </c>
      <c r="D6" s="110">
        <f>F6-E6</f>
        <v>2</v>
      </c>
      <c r="E6" s="83">
        <v>5</v>
      </c>
      <c r="F6" s="110">
        <f>ChiLenhHCKT!E17</f>
        <v>7</v>
      </c>
      <c r="G6" s="110">
        <f>I6-H6</f>
        <v>2</v>
      </c>
      <c r="H6" s="83">
        <v>3</v>
      </c>
      <c r="I6" s="110">
        <f>ChiLenhHCKT!F17</f>
        <v>5</v>
      </c>
    </row>
    <row r="7" spans="1:9" ht="19.5" thickBot="1">
      <c r="A7" s="108">
        <v>2</v>
      </c>
      <c r="B7" s="109" t="s">
        <v>151</v>
      </c>
      <c r="C7" s="110" t="s">
        <v>269</v>
      </c>
      <c r="D7" s="110">
        <f t="shared" ref="D7:D18" si="0">F7-E7</f>
        <v>1</v>
      </c>
      <c r="E7" s="83">
        <v>2</v>
      </c>
      <c r="F7" s="110">
        <f>ChiLenhHCKT!E18</f>
        <v>3</v>
      </c>
      <c r="G7" s="110">
        <f t="shared" ref="G7:G18" si="1">I7-H7</f>
        <v>1</v>
      </c>
      <c r="H7" s="83">
        <v>1</v>
      </c>
      <c r="I7" s="110">
        <f>ChiLenhHCKT!F18</f>
        <v>2</v>
      </c>
    </row>
    <row r="8" spans="1:9" ht="19.5" thickBot="1">
      <c r="A8" s="108">
        <v>3</v>
      </c>
      <c r="B8" s="109" t="s">
        <v>294</v>
      </c>
      <c r="C8" s="110" t="s">
        <v>89</v>
      </c>
      <c r="D8" s="110">
        <f t="shared" si="0"/>
        <v>2</v>
      </c>
      <c r="E8" s="83">
        <v>11</v>
      </c>
      <c r="F8" s="110">
        <f>ChiLenhHCKT!E19</f>
        <v>13</v>
      </c>
      <c r="G8" s="110">
        <f t="shared" si="1"/>
        <v>3</v>
      </c>
      <c r="H8" s="83">
        <v>5</v>
      </c>
      <c r="I8" s="110">
        <f>ChiLenhHCKT!F19</f>
        <v>8</v>
      </c>
    </row>
    <row r="9" spans="1:9" ht="19.5" thickBot="1">
      <c r="A9" s="108">
        <v>4</v>
      </c>
      <c r="B9" s="109" t="s">
        <v>281</v>
      </c>
      <c r="C9" s="110" t="s">
        <v>89</v>
      </c>
      <c r="D9" s="110">
        <f t="shared" si="0"/>
        <v>5</v>
      </c>
      <c r="E9" s="83">
        <v>100</v>
      </c>
      <c r="F9" s="110">
        <f>ChiLenhHCKT!E20</f>
        <v>105</v>
      </c>
      <c r="G9" s="110">
        <f t="shared" si="1"/>
        <v>0</v>
      </c>
      <c r="H9" s="83">
        <v>100</v>
      </c>
      <c r="I9" s="110">
        <f>ChiLenhHCKT!F20</f>
        <v>100</v>
      </c>
    </row>
    <row r="10" spans="1:9" ht="19.5" thickBot="1">
      <c r="A10" s="108">
        <v>5</v>
      </c>
      <c r="B10" s="109" t="s">
        <v>282</v>
      </c>
      <c r="C10" s="110" t="s">
        <v>269</v>
      </c>
      <c r="D10" s="110">
        <f t="shared" si="0"/>
        <v>5</v>
      </c>
      <c r="E10" s="83">
        <v>100</v>
      </c>
      <c r="F10" s="110">
        <f>ChiLenhHCKT!E21</f>
        <v>105</v>
      </c>
      <c r="G10" s="110">
        <f t="shared" si="1"/>
        <v>0</v>
      </c>
      <c r="H10" s="83">
        <v>100</v>
      </c>
      <c r="I10" s="110">
        <f>ChiLenhHCKT!F21</f>
        <v>100</v>
      </c>
    </row>
    <row r="11" spans="1:9" ht="19.5" thickBot="1">
      <c r="A11" s="108"/>
      <c r="B11" s="107" t="s">
        <v>251</v>
      </c>
      <c r="C11" s="110"/>
      <c r="D11" s="110"/>
      <c r="E11" s="83"/>
      <c r="F11" s="110"/>
      <c r="G11" s="110"/>
      <c r="H11" s="83"/>
      <c r="I11" s="110"/>
    </row>
    <row r="12" spans="1:9" ht="19.5" thickBot="1">
      <c r="A12" s="108">
        <v>7</v>
      </c>
      <c r="B12" s="109" t="s">
        <v>283</v>
      </c>
      <c r="C12" s="110" t="s">
        <v>90</v>
      </c>
      <c r="D12" s="110">
        <f t="shared" si="0"/>
        <v>1</v>
      </c>
      <c r="E12" s="83">
        <v>3</v>
      </c>
      <c r="F12" s="110">
        <f>ChiLenhHCKT!E23</f>
        <v>4</v>
      </c>
      <c r="G12" s="110">
        <f t="shared" si="1"/>
        <v>1</v>
      </c>
      <c r="H12" s="83">
        <v>1</v>
      </c>
      <c r="I12" s="110">
        <f>ChiLenhHCKT!F23</f>
        <v>2</v>
      </c>
    </row>
    <row r="13" spans="1:9" ht="19.5" thickBot="1">
      <c r="A13" s="108">
        <v>8</v>
      </c>
      <c r="B13" s="109" t="s">
        <v>156</v>
      </c>
      <c r="C13" s="110" t="s">
        <v>269</v>
      </c>
      <c r="D13" s="110">
        <f t="shared" si="0"/>
        <v>2</v>
      </c>
      <c r="E13" s="83">
        <v>16</v>
      </c>
      <c r="F13" s="110">
        <f>ChiLenhHCKT!E24</f>
        <v>18</v>
      </c>
      <c r="G13" s="110">
        <f t="shared" si="1"/>
        <v>2</v>
      </c>
      <c r="H13" s="83">
        <v>6</v>
      </c>
      <c r="I13" s="110">
        <f>ChiLenhHCKT!F24</f>
        <v>8</v>
      </c>
    </row>
    <row r="14" spans="1:9" ht="19.5" thickBot="1">
      <c r="A14" s="108">
        <v>9</v>
      </c>
      <c r="B14" s="109" t="s">
        <v>157</v>
      </c>
      <c r="C14" s="110" t="s">
        <v>269</v>
      </c>
      <c r="D14" s="110">
        <f t="shared" si="0"/>
        <v>1</v>
      </c>
      <c r="E14" s="83">
        <v>23</v>
      </c>
      <c r="F14" s="110">
        <f>ChiLenhHCKT!E25</f>
        <v>24</v>
      </c>
      <c r="G14" s="110">
        <f t="shared" si="1"/>
        <v>1</v>
      </c>
      <c r="H14" s="83">
        <v>9</v>
      </c>
      <c r="I14" s="110">
        <f>ChiLenhHCKT!F25</f>
        <v>10</v>
      </c>
    </row>
    <row r="15" spans="1:9" ht="19.5" thickBot="1">
      <c r="A15" s="108">
        <v>10</v>
      </c>
      <c r="B15" s="109" t="s">
        <v>284</v>
      </c>
      <c r="C15" s="110" t="s">
        <v>285</v>
      </c>
      <c r="D15" s="110">
        <f t="shared" si="0"/>
        <v>1</v>
      </c>
      <c r="E15" s="83">
        <v>1</v>
      </c>
      <c r="F15" s="110">
        <f>ChiLenhHCKT!E26</f>
        <v>2</v>
      </c>
      <c r="G15" s="110">
        <f t="shared" si="1"/>
        <v>1</v>
      </c>
      <c r="H15" s="83">
        <v>1</v>
      </c>
      <c r="I15" s="110">
        <f>ChiLenhHCKT!F26</f>
        <v>2</v>
      </c>
    </row>
    <row r="16" spans="1:9" ht="19.5" thickBot="1">
      <c r="A16" s="108"/>
      <c r="B16" s="107" t="s">
        <v>252</v>
      </c>
      <c r="C16" s="110"/>
      <c r="D16" s="110"/>
      <c r="E16" s="83"/>
      <c r="F16" s="110"/>
      <c r="G16" s="110"/>
      <c r="H16" s="83"/>
      <c r="I16" s="110"/>
    </row>
    <row r="17" spans="1:9" ht="19.5" thickBot="1">
      <c r="A17" s="108">
        <v>11</v>
      </c>
      <c r="B17" s="109" t="s">
        <v>84</v>
      </c>
      <c r="C17" s="110" t="s">
        <v>286</v>
      </c>
      <c r="D17" s="110">
        <f t="shared" si="0"/>
        <v>2</v>
      </c>
      <c r="E17" s="83">
        <v>5</v>
      </c>
      <c r="F17" s="110">
        <f>ChiLenhHCKT!E28</f>
        <v>7</v>
      </c>
      <c r="G17" s="110">
        <f t="shared" si="1"/>
        <v>2</v>
      </c>
      <c r="H17" s="83">
        <v>3</v>
      </c>
      <c r="I17" s="110">
        <f>ChiLenhHCKT!F28</f>
        <v>5</v>
      </c>
    </row>
    <row r="18" spans="1:9" ht="19.5" thickBot="1">
      <c r="A18" s="108" t="s">
        <v>295</v>
      </c>
      <c r="B18" s="106" t="s">
        <v>296</v>
      </c>
      <c r="C18" s="110" t="s">
        <v>43</v>
      </c>
      <c r="D18" s="110">
        <f t="shared" si="0"/>
        <v>0.8</v>
      </c>
      <c r="E18" s="83">
        <v>0.2</v>
      </c>
      <c r="F18" s="110">
        <f>ChiLenhHCKT!E29</f>
        <v>1</v>
      </c>
      <c r="G18" s="110">
        <f t="shared" si="1"/>
        <v>0.2</v>
      </c>
      <c r="H18" s="83">
        <v>0.3</v>
      </c>
      <c r="I18" s="110">
        <f>ChiLenhHCKT!F29</f>
        <v>0.5</v>
      </c>
    </row>
  </sheetData>
  <mergeCells count="5">
    <mergeCell ref="A2:A3"/>
    <mergeCell ref="B2:B3"/>
    <mergeCell ref="C2:C3"/>
    <mergeCell ref="D2:F2"/>
    <mergeCell ref="G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0865-9655-452A-9BF9-8FD6652051C3}">
  <sheetPr codeName="Sheet12">
    <tabColor theme="8"/>
  </sheetPr>
  <dimension ref="A1:L10"/>
  <sheetViews>
    <sheetView zoomScale="115" zoomScaleNormal="115" workbookViewId="0">
      <selection activeCell="B7" sqref="B7"/>
    </sheetView>
  </sheetViews>
  <sheetFormatPr defaultRowHeight="15"/>
  <cols>
    <col min="1" max="1" width="13" customWidth="1"/>
    <col min="2" max="2" width="9.5703125" bestFit="1" customWidth="1"/>
  </cols>
  <sheetData>
    <row r="1" spans="1:12">
      <c r="A1" s="337" t="s">
        <v>92</v>
      </c>
      <c r="B1" s="337" t="s">
        <v>95</v>
      </c>
      <c r="C1" s="340" t="s">
        <v>96</v>
      </c>
      <c r="D1" s="340"/>
      <c r="E1" s="340"/>
      <c r="F1" s="340"/>
      <c r="G1" s="340"/>
      <c r="H1" s="340"/>
      <c r="I1" s="340"/>
      <c r="J1" s="344" t="s">
        <v>257</v>
      </c>
      <c r="K1" s="345"/>
      <c r="L1" s="346"/>
    </row>
    <row r="2" spans="1:12">
      <c r="A2" s="338"/>
      <c r="B2" s="338"/>
      <c r="C2" s="340" t="s">
        <v>97</v>
      </c>
      <c r="D2" s="340"/>
      <c r="E2" s="340"/>
      <c r="F2" s="340"/>
      <c r="G2" s="340" t="s">
        <v>81</v>
      </c>
      <c r="H2" s="340"/>
      <c r="I2" s="341" t="s">
        <v>41</v>
      </c>
      <c r="J2" s="347" t="s">
        <v>258</v>
      </c>
      <c r="K2" s="347" t="s">
        <v>259</v>
      </c>
      <c r="L2" s="347" t="s">
        <v>15</v>
      </c>
    </row>
    <row r="3" spans="1:12">
      <c r="A3" s="338"/>
      <c r="B3" s="338"/>
      <c r="C3" s="337" t="s">
        <v>89</v>
      </c>
      <c r="D3" s="337" t="s">
        <v>7</v>
      </c>
      <c r="E3" s="340" t="s">
        <v>98</v>
      </c>
      <c r="F3" s="340"/>
      <c r="G3" s="337" t="s">
        <v>89</v>
      </c>
      <c r="H3" s="337" t="s">
        <v>7</v>
      </c>
      <c r="I3" s="342"/>
      <c r="J3" s="348"/>
      <c r="K3" s="348"/>
      <c r="L3" s="348"/>
    </row>
    <row r="4" spans="1:12">
      <c r="A4" s="339"/>
      <c r="B4" s="339"/>
      <c r="C4" s="339"/>
      <c r="D4" s="339"/>
      <c r="E4" s="49" t="s">
        <v>99</v>
      </c>
      <c r="F4" s="49" t="s">
        <v>7</v>
      </c>
      <c r="G4" s="339"/>
      <c r="H4" s="339"/>
      <c r="I4" s="343"/>
      <c r="J4" s="349"/>
      <c r="K4" s="349"/>
      <c r="L4" s="349"/>
    </row>
    <row r="5" spans="1:12">
      <c r="A5" s="54" t="s">
        <v>71</v>
      </c>
      <c r="B5" s="54">
        <f>QSTBKT!B19</f>
        <v>1001</v>
      </c>
      <c r="C5" s="36">
        <f>ChiLenhHCKT!C31</f>
        <v>0</v>
      </c>
      <c r="D5" s="54">
        <f>ROUND(B5*C5/100,0)</f>
        <v>0</v>
      </c>
      <c r="E5" s="36">
        <v>20</v>
      </c>
      <c r="F5" s="54">
        <f t="shared" ref="F5:F10" si="0">ROUND(D5*E5/100,0)</f>
        <v>0</v>
      </c>
      <c r="G5" s="36">
        <v>0.5</v>
      </c>
      <c r="H5" s="54">
        <f t="shared" ref="H5:H10" si="1">ROUND(G5*B5/100,0)</f>
        <v>5</v>
      </c>
      <c r="I5" s="54">
        <f t="shared" ref="I5:I10" si="2">ROUND(D5+H5,0)</f>
        <v>5</v>
      </c>
      <c r="J5" s="99">
        <f>ROUNDUP(I5/2,0)</f>
        <v>3</v>
      </c>
      <c r="K5" s="99">
        <f>I5-J5</f>
        <v>2</v>
      </c>
      <c r="L5" s="99">
        <f>I5</f>
        <v>5</v>
      </c>
    </row>
    <row r="6" spans="1:12">
      <c r="A6" s="54" t="s">
        <v>100</v>
      </c>
      <c r="B6" s="54">
        <f>QSTBKT!B36</f>
        <v>308</v>
      </c>
      <c r="C6" s="36">
        <v>20</v>
      </c>
      <c r="D6" s="54">
        <f>ROUND(B6*C6/100,0)</f>
        <v>62</v>
      </c>
      <c r="E6" s="36">
        <v>20</v>
      </c>
      <c r="F6" s="54">
        <f t="shared" si="0"/>
        <v>12</v>
      </c>
      <c r="G6" s="36">
        <v>0.5</v>
      </c>
      <c r="H6" s="54">
        <f t="shared" si="1"/>
        <v>2</v>
      </c>
      <c r="I6" s="54">
        <f t="shared" si="2"/>
        <v>64</v>
      </c>
      <c r="J6" s="99">
        <f t="shared" ref="J6:J10" si="3">ROUNDUP(I6/2,0)</f>
        <v>32</v>
      </c>
      <c r="K6" s="99">
        <f t="shared" ref="K6:K10" si="4">I6-J6</f>
        <v>32</v>
      </c>
      <c r="L6" s="99">
        <f t="shared" ref="L6:L10" si="5">I6</f>
        <v>64</v>
      </c>
    </row>
    <row r="7" spans="1:12">
      <c r="A7" s="54" t="s">
        <v>101</v>
      </c>
      <c r="B7" s="54">
        <f>QSTBKT!B51</f>
        <v>196</v>
      </c>
      <c r="C7" s="36">
        <v>19</v>
      </c>
      <c r="D7" s="54">
        <f>ROUND(B7*C7/100,0)</f>
        <v>37</v>
      </c>
      <c r="E7" s="36">
        <v>20</v>
      </c>
      <c r="F7" s="54">
        <f t="shared" si="0"/>
        <v>7</v>
      </c>
      <c r="G7" s="36">
        <v>0.5</v>
      </c>
      <c r="H7" s="54">
        <f t="shared" si="1"/>
        <v>1</v>
      </c>
      <c r="I7" s="54">
        <f t="shared" si="2"/>
        <v>38</v>
      </c>
      <c r="J7" s="99">
        <f t="shared" si="3"/>
        <v>19</v>
      </c>
      <c r="K7" s="99">
        <f t="shared" si="4"/>
        <v>19</v>
      </c>
      <c r="L7" s="99">
        <f t="shared" si="5"/>
        <v>38</v>
      </c>
    </row>
    <row r="8" spans="1:12">
      <c r="A8" s="54" t="s">
        <v>309</v>
      </c>
      <c r="B8" s="54">
        <f>QSTBKT!B62</f>
        <v>113</v>
      </c>
      <c r="C8" s="36">
        <v>17</v>
      </c>
      <c r="D8" s="54">
        <f>ROUND(B8*C8/100,0)</f>
        <v>19</v>
      </c>
      <c r="E8" s="36">
        <v>20</v>
      </c>
      <c r="F8" s="54">
        <f t="shared" si="0"/>
        <v>4</v>
      </c>
      <c r="G8" s="36">
        <v>0.5</v>
      </c>
      <c r="H8" s="54">
        <f t="shared" si="1"/>
        <v>1</v>
      </c>
      <c r="I8" s="54">
        <f t="shared" si="2"/>
        <v>20</v>
      </c>
      <c r="J8" s="99">
        <f t="shared" si="3"/>
        <v>10</v>
      </c>
      <c r="K8" s="99">
        <f t="shared" si="4"/>
        <v>10</v>
      </c>
      <c r="L8" s="99">
        <f t="shared" si="5"/>
        <v>20</v>
      </c>
    </row>
    <row r="9" spans="1:12">
      <c r="A9" s="54" t="s">
        <v>102</v>
      </c>
      <c r="B9" s="54">
        <f>QSTBKT!B81</f>
        <v>384</v>
      </c>
      <c r="C9" s="54">
        <f>ROUND(D9/B9*100,1)</f>
        <v>-30.7</v>
      </c>
      <c r="D9" s="54">
        <f>D5-D6-D7-D8</f>
        <v>-118</v>
      </c>
      <c r="E9" s="36">
        <v>20</v>
      </c>
      <c r="F9" s="54">
        <f t="shared" si="0"/>
        <v>-24</v>
      </c>
      <c r="G9" s="36">
        <v>0.5</v>
      </c>
      <c r="H9" s="54">
        <f t="shared" si="1"/>
        <v>2</v>
      </c>
      <c r="I9" s="54">
        <f t="shared" si="2"/>
        <v>-116</v>
      </c>
      <c r="J9" s="99">
        <f t="shared" si="3"/>
        <v>-58</v>
      </c>
      <c r="K9" s="99">
        <f t="shared" si="4"/>
        <v>-58</v>
      </c>
      <c r="L9" s="99">
        <f t="shared" si="5"/>
        <v>-116</v>
      </c>
    </row>
    <row r="10" spans="1:12">
      <c r="A10" s="54" t="s">
        <v>103</v>
      </c>
      <c r="B10" s="54">
        <f>B5</f>
        <v>1001</v>
      </c>
      <c r="C10" s="54">
        <f>ChiLenhHCKT!C33</f>
        <v>0</v>
      </c>
      <c r="D10" s="54">
        <f>ROUND(B10*C10/100,0)</f>
        <v>0</v>
      </c>
      <c r="E10" s="36">
        <v>20</v>
      </c>
      <c r="F10" s="54">
        <f t="shared" si="0"/>
        <v>0</v>
      </c>
      <c r="G10" s="36">
        <v>0.5</v>
      </c>
      <c r="H10" s="54">
        <f t="shared" si="1"/>
        <v>5</v>
      </c>
      <c r="I10" s="54">
        <f t="shared" si="2"/>
        <v>5</v>
      </c>
      <c r="J10" s="99">
        <f t="shared" si="3"/>
        <v>3</v>
      </c>
      <c r="K10" s="99">
        <f t="shared" si="4"/>
        <v>2</v>
      </c>
      <c r="L10" s="99">
        <f t="shared" si="5"/>
        <v>5</v>
      </c>
    </row>
  </sheetData>
  <mergeCells count="15">
    <mergeCell ref="J1:L1"/>
    <mergeCell ref="J2:J4"/>
    <mergeCell ref="K2:K4"/>
    <mergeCell ref="L2:L4"/>
    <mergeCell ref="G2:H2"/>
    <mergeCell ref="A1:A4"/>
    <mergeCell ref="B1:B4"/>
    <mergeCell ref="C1:I1"/>
    <mergeCell ref="C3:C4"/>
    <mergeCell ref="D3:D4"/>
    <mergeCell ref="G3:G4"/>
    <mergeCell ref="H3:H4"/>
    <mergeCell ref="I2:I4"/>
    <mergeCell ref="E3:F3"/>
    <mergeCell ref="C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3BEC-70AD-4DF0-A2D0-5D25A6B2F3E5}">
  <sheetPr>
    <tabColor theme="9"/>
  </sheetPr>
  <dimension ref="A1:M18"/>
  <sheetViews>
    <sheetView workbookViewId="0">
      <selection activeCell="K43" sqref="K43"/>
    </sheetView>
  </sheetViews>
  <sheetFormatPr defaultRowHeight="15"/>
  <cols>
    <col min="1" max="1" width="9.7109375" bestFit="1" customWidth="1"/>
    <col min="2" max="2" width="14.140625" bestFit="1" customWidth="1"/>
  </cols>
  <sheetData>
    <row r="1" spans="1:13">
      <c r="A1" s="350" t="s">
        <v>114</v>
      </c>
      <c r="B1" s="350" t="s">
        <v>92</v>
      </c>
      <c r="C1" s="350" t="s">
        <v>95</v>
      </c>
      <c r="D1" s="350"/>
      <c r="E1" s="350"/>
      <c r="F1" s="350"/>
      <c r="G1" s="350" t="s">
        <v>181</v>
      </c>
      <c r="H1" s="350"/>
      <c r="I1" s="350"/>
      <c r="J1" s="350" t="s">
        <v>231</v>
      </c>
      <c r="K1" s="350"/>
      <c r="L1" s="350"/>
      <c r="M1" s="350"/>
    </row>
    <row r="2" spans="1:13">
      <c r="A2" s="350"/>
      <c r="B2" s="350"/>
      <c r="C2" s="350" t="s">
        <v>225</v>
      </c>
      <c r="D2" s="350" t="s">
        <v>226</v>
      </c>
      <c r="E2" s="350" t="s">
        <v>227</v>
      </c>
      <c r="F2" s="350" t="s">
        <v>41</v>
      </c>
      <c r="G2" s="350" t="s">
        <v>228</v>
      </c>
      <c r="H2" s="350" t="s">
        <v>230</v>
      </c>
      <c r="I2" s="350" t="s">
        <v>229</v>
      </c>
      <c r="J2" s="350" t="s">
        <v>232</v>
      </c>
      <c r="K2" s="350"/>
      <c r="L2" s="351" t="s">
        <v>233</v>
      </c>
      <c r="M2" s="351"/>
    </row>
    <row r="3" spans="1:13">
      <c r="A3" s="350"/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1"/>
      <c r="M3" s="351"/>
    </row>
    <row r="4" spans="1:13">
      <c r="A4" s="350"/>
      <c r="B4" s="350"/>
      <c r="C4" s="350"/>
      <c r="D4" s="350"/>
      <c r="E4" s="350"/>
      <c r="F4" s="350"/>
      <c r="G4" s="350"/>
      <c r="H4" s="350"/>
      <c r="I4" s="350"/>
      <c r="J4" s="288" t="s">
        <v>33</v>
      </c>
      <c r="K4" s="288" t="s">
        <v>97</v>
      </c>
      <c r="L4" s="288" t="s">
        <v>33</v>
      </c>
      <c r="M4" s="288" t="s">
        <v>97</v>
      </c>
    </row>
    <row r="5" spans="1:13">
      <c r="A5" s="288">
        <v>1</v>
      </c>
      <c r="B5" s="289" t="s">
        <v>243</v>
      </c>
      <c r="C5" s="288">
        <f>SUM(C6:C12)</f>
        <v>2</v>
      </c>
      <c r="D5" s="288">
        <f>SUM(D6:D12)</f>
        <v>5</v>
      </c>
      <c r="E5" s="288">
        <f>SUM(E6:E12)</f>
        <v>54</v>
      </c>
      <c r="F5" s="288">
        <f>SUM(F6:F12)</f>
        <v>61</v>
      </c>
      <c r="G5" s="91"/>
      <c r="H5" s="91"/>
      <c r="I5" s="91"/>
      <c r="J5" s="91"/>
      <c r="K5" s="91"/>
      <c r="L5" s="91"/>
      <c r="M5" s="91"/>
    </row>
    <row r="6" spans="1:13">
      <c r="A6" s="288" t="s">
        <v>236</v>
      </c>
      <c r="B6" s="290" t="s">
        <v>234</v>
      </c>
      <c r="C6" s="288">
        <v>1</v>
      </c>
      <c r="D6" s="288"/>
      <c r="E6" s="288"/>
      <c r="F6" s="288">
        <f t="shared" ref="F6:F12" si="0">SUM(C6:E6)</f>
        <v>1</v>
      </c>
      <c r="G6" s="91"/>
      <c r="H6" s="91"/>
      <c r="I6" s="91"/>
      <c r="J6" s="91"/>
      <c r="K6" s="91"/>
      <c r="L6" s="91"/>
      <c r="M6" s="91"/>
    </row>
    <row r="7" spans="1:13">
      <c r="A7" s="288" t="s">
        <v>236</v>
      </c>
      <c r="B7" s="290" t="s">
        <v>235</v>
      </c>
      <c r="C7" s="288"/>
      <c r="D7" s="288">
        <v>1</v>
      </c>
      <c r="E7" s="288"/>
      <c r="F7" s="288">
        <f t="shared" si="0"/>
        <v>1</v>
      </c>
      <c r="G7" s="91"/>
      <c r="H7" s="91"/>
      <c r="I7" s="91"/>
      <c r="J7" s="91"/>
      <c r="K7" s="91"/>
      <c r="L7" s="91"/>
      <c r="M7" s="91"/>
    </row>
    <row r="8" spans="1:13">
      <c r="A8" s="288" t="s">
        <v>236</v>
      </c>
      <c r="B8" s="291" t="s">
        <v>237</v>
      </c>
      <c r="C8" s="288"/>
      <c r="D8" s="288">
        <v>1</v>
      </c>
      <c r="E8" s="288"/>
      <c r="F8" s="288">
        <f t="shared" si="0"/>
        <v>1</v>
      </c>
      <c r="G8" s="91"/>
      <c r="H8" s="91"/>
      <c r="I8" s="91"/>
      <c r="J8" s="91"/>
      <c r="K8" s="91"/>
      <c r="L8" s="91"/>
      <c r="M8" s="91"/>
    </row>
    <row r="9" spans="1:13">
      <c r="A9" s="288" t="s">
        <v>236</v>
      </c>
      <c r="B9" s="290" t="s">
        <v>238</v>
      </c>
      <c r="C9" s="288"/>
      <c r="D9" s="288">
        <v>1</v>
      </c>
      <c r="E9" s="288"/>
      <c r="F9" s="288">
        <f t="shared" si="0"/>
        <v>1</v>
      </c>
      <c r="G9" s="91"/>
      <c r="H9" s="91"/>
      <c r="I9" s="91"/>
      <c r="J9" s="91"/>
      <c r="K9" s="91"/>
      <c r="L9" s="91"/>
      <c r="M9" s="91"/>
    </row>
    <row r="10" spans="1:13">
      <c r="A10" s="288" t="s">
        <v>236</v>
      </c>
      <c r="B10" s="290" t="s">
        <v>239</v>
      </c>
      <c r="C10" s="288"/>
      <c r="D10" s="288">
        <v>1</v>
      </c>
      <c r="E10" s="288">
        <v>2</v>
      </c>
      <c r="F10" s="288">
        <f t="shared" si="0"/>
        <v>3</v>
      </c>
      <c r="G10" s="91"/>
      <c r="H10" s="91"/>
      <c r="I10" s="91"/>
      <c r="J10" s="91"/>
      <c r="K10" s="91"/>
      <c r="L10" s="91"/>
      <c r="M10" s="91"/>
    </row>
    <row r="11" spans="1:13">
      <c r="A11" s="288" t="s">
        <v>236</v>
      </c>
      <c r="B11" s="290" t="s">
        <v>240</v>
      </c>
      <c r="C11" s="288">
        <v>1</v>
      </c>
      <c r="D11" s="288"/>
      <c r="E11" s="288">
        <v>27</v>
      </c>
      <c r="F11" s="288">
        <f t="shared" si="0"/>
        <v>28</v>
      </c>
      <c r="G11" s="91"/>
      <c r="H11" s="91"/>
      <c r="I11" s="91"/>
      <c r="J11" s="91"/>
      <c r="K11" s="91"/>
      <c r="L11" s="91"/>
      <c r="M11" s="91"/>
    </row>
    <row r="12" spans="1:13">
      <c r="A12" s="292" t="s">
        <v>236</v>
      </c>
      <c r="B12" s="293" t="s">
        <v>241</v>
      </c>
      <c r="C12" s="298"/>
      <c r="D12" s="298">
        <v>1</v>
      </c>
      <c r="E12" s="298">
        <v>25</v>
      </c>
      <c r="F12" s="288">
        <f t="shared" si="0"/>
        <v>26</v>
      </c>
      <c r="G12" s="94"/>
      <c r="H12" s="94"/>
      <c r="I12" s="94"/>
      <c r="J12" s="94"/>
      <c r="K12" s="94"/>
      <c r="L12" s="94"/>
      <c r="M12" s="94"/>
    </row>
    <row r="13" spans="1:13">
      <c r="A13" s="288">
        <v>2</v>
      </c>
      <c r="B13" s="294" t="s">
        <v>242</v>
      </c>
      <c r="C13" s="288">
        <f>C14+C15+C16</f>
        <v>1</v>
      </c>
      <c r="D13" s="288">
        <f>D14+D15+D16</f>
        <v>4</v>
      </c>
      <c r="E13" s="288">
        <f>E14+E15+E16</f>
        <v>29</v>
      </c>
      <c r="F13" s="288">
        <f>F14+F15+F16</f>
        <v>34</v>
      </c>
      <c r="G13" s="92"/>
      <c r="H13" s="92"/>
      <c r="I13" s="92"/>
      <c r="J13" s="92"/>
      <c r="K13" s="92"/>
      <c r="L13" s="92"/>
      <c r="M13" s="92"/>
    </row>
    <row r="14" spans="1:13">
      <c r="A14" s="91" t="s">
        <v>236</v>
      </c>
      <c r="B14" s="93" t="s">
        <v>244</v>
      </c>
      <c r="C14" s="91"/>
      <c r="D14" s="91">
        <v>1</v>
      </c>
      <c r="E14" s="91">
        <v>2</v>
      </c>
      <c r="F14" s="288">
        <f>SUM(C14:E14)</f>
        <v>3</v>
      </c>
      <c r="G14" s="92"/>
      <c r="H14" s="92"/>
      <c r="I14" s="92"/>
      <c r="J14" s="92"/>
      <c r="K14" s="92"/>
      <c r="L14" s="92"/>
      <c r="M14" s="92"/>
    </row>
    <row r="15" spans="1:13">
      <c r="A15" s="91" t="s">
        <v>236</v>
      </c>
      <c r="B15" s="90" t="s">
        <v>245</v>
      </c>
      <c r="C15" s="89">
        <v>1</v>
      </c>
      <c r="D15" s="89"/>
      <c r="E15" s="89">
        <v>27</v>
      </c>
      <c r="F15" s="288">
        <f>SUM(C15:E15)</f>
        <v>28</v>
      </c>
      <c r="G15" s="86"/>
      <c r="H15" s="86"/>
      <c r="I15" s="86"/>
      <c r="J15" s="86"/>
      <c r="K15" s="86"/>
      <c r="L15" s="86"/>
      <c r="M15" s="86"/>
    </row>
    <row r="16" spans="1:13">
      <c r="A16" s="89" t="s">
        <v>236</v>
      </c>
      <c r="B16" s="87" t="s">
        <v>246</v>
      </c>
      <c r="C16" s="89"/>
      <c r="D16" s="89">
        <v>3</v>
      </c>
      <c r="E16" s="89"/>
      <c r="F16" s="288">
        <f>SUM(C16:E16)</f>
        <v>3</v>
      </c>
      <c r="G16" s="86"/>
      <c r="H16" s="86"/>
      <c r="I16" s="86"/>
      <c r="J16" s="86"/>
      <c r="K16" s="86"/>
      <c r="L16" s="86"/>
      <c r="M16" s="86"/>
    </row>
    <row r="17" spans="1:13">
      <c r="A17" s="297" t="s">
        <v>344</v>
      </c>
      <c r="B17" s="296"/>
      <c r="C17" s="86"/>
      <c r="D17" s="86"/>
      <c r="E17" s="86"/>
      <c r="F17" s="296"/>
      <c r="G17" s="86"/>
      <c r="H17" s="86"/>
      <c r="I17" s="86"/>
      <c r="J17" s="86"/>
      <c r="K17" s="86"/>
      <c r="L17" s="86"/>
      <c r="M17" s="86"/>
    </row>
    <row r="18" spans="1:13">
      <c r="A18" s="295" t="s">
        <v>37</v>
      </c>
      <c r="B18" s="296"/>
      <c r="C18" s="295">
        <f>C13+C5</f>
        <v>3</v>
      </c>
      <c r="D18" s="295">
        <f t="shared" ref="D18:F18" si="1">D13+D5</f>
        <v>9</v>
      </c>
      <c r="E18" s="295">
        <f t="shared" si="1"/>
        <v>83</v>
      </c>
      <c r="F18" s="295">
        <f t="shared" si="1"/>
        <v>95</v>
      </c>
      <c r="G18" s="95"/>
      <c r="H18" s="95"/>
      <c r="I18" s="95"/>
      <c r="J18" s="295">
        <f>J13+J5</f>
        <v>0</v>
      </c>
      <c r="K18" s="295">
        <f>K13+K5</f>
        <v>0</v>
      </c>
      <c r="L18" s="295">
        <f>L13+L5</f>
        <v>0</v>
      </c>
      <c r="M18" s="295">
        <f>M13+M5</f>
        <v>0</v>
      </c>
    </row>
  </sheetData>
  <mergeCells count="14">
    <mergeCell ref="H2:H4"/>
    <mergeCell ref="I2:I4"/>
    <mergeCell ref="J2:K3"/>
    <mergeCell ref="L2:M3"/>
    <mergeCell ref="A1:A4"/>
    <mergeCell ref="B1:B4"/>
    <mergeCell ref="C1:F1"/>
    <mergeCell ref="G1:I1"/>
    <mergeCell ref="J1:M1"/>
    <mergeCell ref="C2:C4"/>
    <mergeCell ref="D2:D4"/>
    <mergeCell ref="E2:E4"/>
    <mergeCell ref="F2:F4"/>
    <mergeCell ref="G2:G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CE52-2C2B-48C3-91C2-C5FF49DB09B4}">
  <sheetPr codeName="Sheet3">
    <tabColor theme="9"/>
  </sheetPr>
  <dimension ref="A1:AU103"/>
  <sheetViews>
    <sheetView topLeftCell="A23" zoomScale="55" zoomScaleNormal="55" workbookViewId="0">
      <pane xSplit="1" ySplit="5" topLeftCell="B28" activePane="bottomRight" state="frozen"/>
      <selection activeCell="A23" sqref="A23"/>
      <selection pane="topRight" activeCell="B23" sqref="B23"/>
      <selection pane="bottomLeft" activeCell="A28" sqref="A28"/>
      <selection pane="bottomRight" activeCell="AD26" sqref="AD25:AG26"/>
    </sheetView>
  </sheetViews>
  <sheetFormatPr defaultRowHeight="15"/>
  <cols>
    <col min="1" max="1" width="22.85546875" customWidth="1"/>
    <col min="2" max="2" width="9.42578125" bestFit="1" customWidth="1"/>
    <col min="3" max="3" width="10.7109375" bestFit="1" customWidth="1"/>
    <col min="4" max="4" width="11" customWidth="1"/>
    <col min="7" max="7" width="9.28515625" bestFit="1" customWidth="1"/>
    <col min="8" max="8" width="11.7109375" bestFit="1" customWidth="1"/>
    <col min="9" max="9" width="9.28515625" customWidth="1"/>
    <col min="10" max="10" width="10.7109375" bestFit="1" customWidth="1"/>
    <col min="11" max="11" width="11" bestFit="1" customWidth="1"/>
    <col min="12" max="12" width="9.28515625" bestFit="1" customWidth="1"/>
    <col min="13" max="13" width="9.28515625" customWidth="1"/>
    <col min="14" max="14" width="9.28515625" bestFit="1" customWidth="1"/>
    <col min="15" max="15" width="10.7109375" bestFit="1" customWidth="1"/>
    <col min="16" max="16" width="8.28515625" customWidth="1"/>
    <col min="17" max="17" width="9.7109375" bestFit="1" customWidth="1"/>
    <col min="20" max="20" width="11.7109375" bestFit="1" customWidth="1"/>
    <col min="21" max="21" width="8.28515625" bestFit="1" customWidth="1"/>
    <col min="22" max="22" width="8.28515625" customWidth="1"/>
    <col min="23" max="23" width="11.140625" customWidth="1"/>
    <col min="24" max="24" width="9.28515625" bestFit="1" customWidth="1"/>
    <col min="25" max="25" width="7.28515625" customWidth="1"/>
    <col min="26" max="26" width="9.7109375" bestFit="1" customWidth="1"/>
    <col min="27" max="27" width="9.28515625" style="23" bestFit="1" customWidth="1"/>
    <col min="28" max="28" width="7.28515625" style="23" customWidth="1"/>
    <col min="29" max="29" width="9.28515625" style="27" customWidth="1"/>
    <col min="30" max="30" width="14.28515625" style="23" customWidth="1"/>
    <col min="31" max="31" width="13.42578125" bestFit="1" customWidth="1"/>
    <col min="32" max="35" width="10.7109375" customWidth="1"/>
    <col min="36" max="36" width="12.140625" customWidth="1"/>
    <col min="37" max="37" width="13.42578125" bestFit="1" customWidth="1"/>
    <col min="38" max="38" width="10.7109375" bestFit="1" customWidth="1"/>
    <col min="39" max="40" width="9" bestFit="1" customWidth="1"/>
    <col min="41" max="42" width="12" customWidth="1"/>
    <col min="43" max="43" width="13.42578125" bestFit="1" customWidth="1"/>
    <col min="44" max="46" width="9" bestFit="1" customWidth="1"/>
    <col min="47" max="47" width="11.28515625" bestFit="1" customWidth="1"/>
  </cols>
  <sheetData>
    <row r="1" spans="1:42" ht="51" customHeight="1">
      <c r="A1" s="355" t="s">
        <v>70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</row>
    <row r="2" spans="1:42" ht="18.75" hidden="1">
      <c r="A2" s="356" t="s">
        <v>38</v>
      </c>
      <c r="B2" s="357" t="s">
        <v>39</v>
      </c>
      <c r="C2" s="357"/>
      <c r="D2" s="357"/>
      <c r="E2" s="357"/>
      <c r="F2" s="357"/>
      <c r="G2" s="357"/>
      <c r="H2" s="353" t="s">
        <v>67</v>
      </c>
      <c r="I2" s="353"/>
      <c r="J2" s="353"/>
      <c r="K2" s="353"/>
      <c r="L2" s="353"/>
      <c r="M2" s="353"/>
      <c r="N2" s="353"/>
      <c r="O2" s="353" t="s">
        <v>66</v>
      </c>
      <c r="P2" s="353"/>
      <c r="Q2" s="353"/>
      <c r="R2" s="353" t="s">
        <v>40</v>
      </c>
      <c r="S2" s="353"/>
      <c r="T2" s="353"/>
      <c r="U2" s="353" t="s">
        <v>37</v>
      </c>
      <c r="V2" s="300"/>
      <c r="W2" s="301"/>
    </row>
    <row r="3" spans="1:42" ht="18.75" hidden="1">
      <c r="A3" s="356"/>
      <c r="B3" s="299" t="s">
        <v>7</v>
      </c>
      <c r="C3" s="299" t="s">
        <v>8</v>
      </c>
      <c r="D3" s="299" t="s">
        <v>9</v>
      </c>
      <c r="E3" s="299" t="s">
        <v>10</v>
      </c>
      <c r="F3" s="299" t="s">
        <v>77</v>
      </c>
      <c r="G3" s="302" t="s">
        <v>41</v>
      </c>
      <c r="H3" s="303">
        <v>60</v>
      </c>
      <c r="I3" s="303">
        <v>82</v>
      </c>
      <c r="J3" s="303"/>
      <c r="K3" s="303">
        <v>100</v>
      </c>
      <c r="L3" s="303" t="s">
        <v>12</v>
      </c>
      <c r="M3" s="303"/>
      <c r="N3" s="300" t="s">
        <v>41</v>
      </c>
      <c r="O3" s="303">
        <v>12.7</v>
      </c>
      <c r="P3" s="303"/>
      <c r="Q3" s="300" t="s">
        <v>41</v>
      </c>
      <c r="R3" s="353"/>
      <c r="S3" s="353"/>
      <c r="T3" s="353"/>
      <c r="U3" s="353"/>
      <c r="V3" s="300"/>
      <c r="W3" s="301"/>
    </row>
    <row r="4" spans="1:42" ht="18.75" hidden="1">
      <c r="A4" s="356"/>
      <c r="B4" s="299" t="s">
        <v>42</v>
      </c>
      <c r="C4" s="299" t="s">
        <v>42</v>
      </c>
      <c r="D4" s="299" t="s">
        <v>42</v>
      </c>
      <c r="E4" s="299" t="s">
        <v>42</v>
      </c>
      <c r="F4" s="299" t="s">
        <v>42</v>
      </c>
      <c r="G4" s="299" t="s">
        <v>43</v>
      </c>
      <c r="H4" s="299" t="s">
        <v>42</v>
      </c>
      <c r="I4" s="299" t="s">
        <v>42</v>
      </c>
      <c r="J4" s="299"/>
      <c r="K4" s="299" t="s">
        <v>42</v>
      </c>
      <c r="L4" s="299" t="s">
        <v>42</v>
      </c>
      <c r="M4" s="299"/>
      <c r="N4" s="300" t="s">
        <v>43</v>
      </c>
      <c r="O4" s="299" t="s">
        <v>42</v>
      </c>
      <c r="P4" s="299"/>
      <c r="Q4" s="300" t="s">
        <v>43</v>
      </c>
      <c r="R4" s="299" t="s">
        <v>42</v>
      </c>
      <c r="S4" s="299"/>
      <c r="T4" s="300" t="s">
        <v>43</v>
      </c>
      <c r="U4" s="353"/>
      <c r="V4" s="300"/>
      <c r="W4" s="304"/>
    </row>
    <row r="5" spans="1:42" ht="18.75" hidden="1">
      <c r="A5" s="305" t="s">
        <v>48</v>
      </c>
      <c r="B5" s="306">
        <f>AI40</f>
        <v>1.4111999999999998E-2</v>
      </c>
      <c r="C5" s="306">
        <f>AI39</f>
        <v>3.2075999999999998</v>
      </c>
      <c r="D5" s="306">
        <f>AI38</f>
        <v>0.47519999999999996</v>
      </c>
      <c r="E5" s="306">
        <f>AI37</f>
        <v>0.31680000000000003</v>
      </c>
      <c r="F5" s="306" t="e">
        <f>#REF!</f>
        <v>#REF!</v>
      </c>
      <c r="G5" s="307"/>
      <c r="H5" s="306" t="e">
        <f>#REF!</f>
        <v>#REF!</v>
      </c>
      <c r="I5" s="308" t="e">
        <f>#REF!</f>
        <v>#REF!</v>
      </c>
      <c r="J5" s="308"/>
      <c r="K5" s="308" t="e">
        <f>#REF!</f>
        <v>#REF!</v>
      </c>
      <c r="L5" s="308" t="e">
        <f>#REF!</f>
        <v>#REF!</v>
      </c>
      <c r="M5" s="308"/>
      <c r="N5" s="309"/>
      <c r="O5" s="308" t="e">
        <f>#REF!</f>
        <v>#REF!</v>
      </c>
      <c r="P5" s="308"/>
      <c r="Q5" s="310"/>
      <c r="R5" s="308">
        <f>AI41</f>
        <v>7.5000000000000002E-4</v>
      </c>
      <c r="S5" s="308"/>
      <c r="T5" s="310"/>
      <c r="U5" s="307">
        <f t="shared" ref="U5:U16" si="0">G5+N5+Q5+T5</f>
        <v>0</v>
      </c>
      <c r="V5" s="307"/>
      <c r="W5" s="304"/>
    </row>
    <row r="6" spans="1:42" ht="18.75" hidden="1">
      <c r="A6" s="305" t="s">
        <v>69</v>
      </c>
      <c r="B6" s="306">
        <f>AO40</f>
        <v>7.3919999999999993E-3</v>
      </c>
      <c r="C6" s="306">
        <f>AO39</f>
        <v>1.9073999999999998</v>
      </c>
      <c r="D6" s="306">
        <f>AO38</f>
        <v>0.35639999999999999</v>
      </c>
      <c r="E6" s="306">
        <f>AO37</f>
        <v>0.23760000000000003</v>
      </c>
      <c r="F6" s="306" t="e">
        <f>#REF!</f>
        <v>#REF!</v>
      </c>
      <c r="G6" s="307"/>
      <c r="H6" s="306" t="e">
        <f>#REF!</f>
        <v>#REF!</v>
      </c>
      <c r="I6" s="308" t="e">
        <f>#REF!</f>
        <v>#REF!</v>
      </c>
      <c r="J6" s="308"/>
      <c r="K6" s="308" t="e">
        <f>#REF!</f>
        <v>#REF!</v>
      </c>
      <c r="L6" s="308" t="e">
        <f>#REF!</f>
        <v>#REF!</v>
      </c>
      <c r="M6" s="308"/>
      <c r="N6" s="309"/>
      <c r="O6" s="308" t="e">
        <f>#REF!</f>
        <v>#REF!</v>
      </c>
      <c r="P6" s="308"/>
      <c r="Q6" s="310"/>
      <c r="R6" s="308">
        <f>AO41</f>
        <v>7.5000000000000002E-4</v>
      </c>
      <c r="S6" s="308"/>
      <c r="T6" s="310"/>
      <c r="U6" s="307">
        <f t="shared" si="0"/>
        <v>0</v>
      </c>
      <c r="V6" s="307"/>
      <c r="W6" s="311"/>
    </row>
    <row r="7" spans="1:42" ht="18.75" hidden="1">
      <c r="A7" s="305" t="s">
        <v>64</v>
      </c>
      <c r="B7" s="306">
        <f>AU40</f>
        <v>6.7200000000000003E-3</v>
      </c>
      <c r="C7" s="306">
        <f>AU39</f>
        <v>1.3001999999999998</v>
      </c>
      <c r="D7" s="306">
        <f>AU38</f>
        <v>0.11879999999999999</v>
      </c>
      <c r="E7" s="306">
        <f>AU37</f>
        <v>7.9200000000000007E-2</v>
      </c>
      <c r="F7" s="306" t="e">
        <f>#REF!</f>
        <v>#REF!</v>
      </c>
      <c r="G7" s="307"/>
      <c r="H7" s="306" t="e">
        <f>#REF!</f>
        <v>#REF!</v>
      </c>
      <c r="I7" s="308" t="e">
        <f>#REF!</f>
        <v>#REF!</v>
      </c>
      <c r="J7" s="308"/>
      <c r="K7" s="308" t="e">
        <f>#REF!</f>
        <v>#REF!</v>
      </c>
      <c r="L7" s="308" t="e">
        <f>#REF!</f>
        <v>#REF!</v>
      </c>
      <c r="M7" s="308"/>
      <c r="N7" s="309"/>
      <c r="O7" s="308" t="e">
        <f>#REF!</f>
        <v>#REF!</v>
      </c>
      <c r="P7" s="308"/>
      <c r="Q7" s="310"/>
      <c r="R7" s="308">
        <f>AU41</f>
        <v>7.5000000000000002E-4</v>
      </c>
      <c r="S7" s="308"/>
      <c r="T7" s="310"/>
      <c r="U7" s="307">
        <f t="shared" si="0"/>
        <v>0</v>
      </c>
      <c r="V7" s="307"/>
      <c r="W7" s="17"/>
    </row>
    <row r="8" spans="1:42" ht="18.75" hidden="1">
      <c r="A8" s="305" t="s">
        <v>49</v>
      </c>
      <c r="B8" s="312">
        <f>B9+B12</f>
        <v>2.25</v>
      </c>
      <c r="C8" s="312">
        <f t="shared" ref="C8:H8" si="1">C9+C12</f>
        <v>1.75</v>
      </c>
      <c r="D8" s="312">
        <f t="shared" si="1"/>
        <v>1.75</v>
      </c>
      <c r="E8" s="312">
        <f t="shared" si="1"/>
        <v>1.75</v>
      </c>
      <c r="F8" s="312">
        <f t="shared" si="1"/>
        <v>1.58</v>
      </c>
      <c r="G8" s="307" t="e">
        <f>B8*$B$5+C8*$C$5+D8*$D$5+E8*$E$5+F8*$F$5</f>
        <v>#REF!</v>
      </c>
      <c r="H8" s="312">
        <f t="shared" si="1"/>
        <v>1.6</v>
      </c>
      <c r="I8" s="312">
        <f>I9+I12</f>
        <v>1.6</v>
      </c>
      <c r="J8" s="312"/>
      <c r="K8" s="312">
        <f>K9+K12</f>
        <v>1.6</v>
      </c>
      <c r="L8" s="312">
        <f t="shared" ref="L8:R8" si="2">L9+L12</f>
        <v>1.7</v>
      </c>
      <c r="M8" s="312"/>
      <c r="N8" s="307" t="e">
        <f>H8*$H$5+I8*$I$5+K8*$K$5+L8*$L$5</f>
        <v>#REF!</v>
      </c>
      <c r="O8" s="312">
        <f t="shared" si="2"/>
        <v>2.0499999999999998</v>
      </c>
      <c r="P8" s="312"/>
      <c r="Q8" s="313" t="e">
        <f>O8*$O$5</f>
        <v>#REF!</v>
      </c>
      <c r="R8" s="312">
        <f t="shared" si="2"/>
        <v>1.75</v>
      </c>
      <c r="S8" s="312"/>
      <c r="T8" s="313">
        <f>R8*$R$5</f>
        <v>1.3125000000000001E-3</v>
      </c>
      <c r="U8" s="307" t="e">
        <f t="shared" si="0"/>
        <v>#REF!</v>
      </c>
      <c r="V8" s="307"/>
      <c r="W8" s="17"/>
    </row>
    <row r="9" spans="1:42" ht="18.75" hidden="1">
      <c r="A9" s="305" t="s">
        <v>50</v>
      </c>
      <c r="B9" s="312">
        <f>SUM(B10:B11)</f>
        <v>1.25</v>
      </c>
      <c r="C9" s="312">
        <f>SUM(C10:C11)</f>
        <v>1.25</v>
      </c>
      <c r="D9" s="312">
        <f>SUM(D10:D11)</f>
        <v>1.25</v>
      </c>
      <c r="E9" s="312">
        <f>SUM(E10:E11)</f>
        <v>1.25</v>
      </c>
      <c r="F9" s="312">
        <f>SUM(F10:F11)</f>
        <v>1.25</v>
      </c>
      <c r="G9" s="307" t="e">
        <f t="shared" ref="G9:G16" si="3">B9*$B$5+C9*$C$5+D9*$D$5+E9*$E$5+F9*$F$5</f>
        <v>#REF!</v>
      </c>
      <c r="H9" s="312">
        <f>SUM(H10:H11)</f>
        <v>1.5</v>
      </c>
      <c r="I9" s="312">
        <f>SUM(I10:I11)</f>
        <v>1.5</v>
      </c>
      <c r="J9" s="312"/>
      <c r="K9" s="312">
        <f>SUM(K10:K11)</f>
        <v>1.5</v>
      </c>
      <c r="L9" s="312">
        <f>SUM(L10:L11)</f>
        <v>1.5</v>
      </c>
      <c r="M9" s="312"/>
      <c r="N9" s="307" t="e">
        <f>H9*$H$5+I9*$I$5+K9*$K$5+L9*$L$5</f>
        <v>#REF!</v>
      </c>
      <c r="O9" s="312">
        <f>SUM(O10:O11)</f>
        <v>1.75</v>
      </c>
      <c r="P9" s="312"/>
      <c r="Q9" s="313" t="e">
        <f>O9*$O$5</f>
        <v>#REF!</v>
      </c>
      <c r="R9" s="312">
        <f>SUM(R10:R11)</f>
        <v>1.25</v>
      </c>
      <c r="S9" s="312"/>
      <c r="T9" s="313">
        <f>R9*$R$5</f>
        <v>9.3749999999999997E-4</v>
      </c>
      <c r="U9" s="307" t="e">
        <f t="shared" si="0"/>
        <v>#REF!</v>
      </c>
      <c r="V9" s="307"/>
      <c r="W9" s="311"/>
    </row>
    <row r="10" spans="1:42" ht="18.75" hidden="1">
      <c r="A10" s="314" t="s">
        <v>51</v>
      </c>
      <c r="B10" s="315">
        <v>0</v>
      </c>
      <c r="C10" s="315">
        <v>0</v>
      </c>
      <c r="D10" s="315">
        <v>0</v>
      </c>
      <c r="E10" s="315">
        <v>0</v>
      </c>
      <c r="F10" s="315">
        <v>0</v>
      </c>
      <c r="G10" s="307" t="e">
        <f t="shared" si="3"/>
        <v>#REF!</v>
      </c>
      <c r="H10" s="315">
        <v>0</v>
      </c>
      <c r="I10" s="315">
        <v>0</v>
      </c>
      <c r="J10" s="315"/>
      <c r="K10" s="315">
        <v>0</v>
      </c>
      <c r="L10" s="315">
        <v>0</v>
      </c>
      <c r="M10" s="315"/>
      <c r="N10" s="307" t="e">
        <f>H10*$H$5+I10*$I$5+K10*$K$5+L10*$L$5</f>
        <v>#REF!</v>
      </c>
      <c r="O10" s="315">
        <v>0</v>
      </c>
      <c r="P10" s="315"/>
      <c r="Q10" s="313" t="e">
        <f>O10*$O$5</f>
        <v>#REF!</v>
      </c>
      <c r="R10" s="315">
        <v>0</v>
      </c>
      <c r="S10" s="315"/>
      <c r="T10" s="313">
        <f>R10*$R$5</f>
        <v>0</v>
      </c>
      <c r="U10" s="307" t="e">
        <f t="shared" si="0"/>
        <v>#REF!</v>
      </c>
      <c r="V10" s="307"/>
      <c r="W10" s="311"/>
    </row>
    <row r="11" spans="1:42" ht="18.75" hidden="1">
      <c r="A11" s="314" t="s">
        <v>53</v>
      </c>
      <c r="B11" s="315">
        <v>1.25</v>
      </c>
      <c r="C11" s="315">
        <v>1.25</v>
      </c>
      <c r="D11" s="315">
        <v>1.25</v>
      </c>
      <c r="E11" s="315">
        <v>1.25</v>
      </c>
      <c r="F11" s="315">
        <v>1.25</v>
      </c>
      <c r="G11" s="307" t="e">
        <f t="shared" si="3"/>
        <v>#REF!</v>
      </c>
      <c r="H11" s="315">
        <v>1.5</v>
      </c>
      <c r="I11" s="315">
        <v>1.5</v>
      </c>
      <c r="J11" s="315"/>
      <c r="K11" s="315">
        <v>1.5</v>
      </c>
      <c r="L11" s="315">
        <v>1.5</v>
      </c>
      <c r="M11" s="315"/>
      <c r="N11" s="307" t="e">
        <f>H11*$H$5+I11*$I$5+K11*$K$5+L11*$L$5</f>
        <v>#REF!</v>
      </c>
      <c r="O11" s="315">
        <v>1.75</v>
      </c>
      <c r="P11" s="315"/>
      <c r="Q11" s="313" t="e">
        <f>O11*$O$5</f>
        <v>#REF!</v>
      </c>
      <c r="R11" s="315">
        <v>1.25</v>
      </c>
      <c r="S11" s="315"/>
      <c r="T11" s="313">
        <f>R11*$R$5</f>
        <v>9.3749999999999997E-4</v>
      </c>
      <c r="U11" s="307" t="e">
        <f t="shared" si="0"/>
        <v>#REF!</v>
      </c>
      <c r="V11" s="307"/>
      <c r="W11" s="17"/>
    </row>
    <row r="12" spans="1:42" ht="18.75" hidden="1">
      <c r="A12" s="305" t="s">
        <v>55</v>
      </c>
      <c r="B12" s="312">
        <v>1</v>
      </c>
      <c r="C12" s="312">
        <v>0.5</v>
      </c>
      <c r="D12" s="312">
        <v>0.5</v>
      </c>
      <c r="E12" s="312">
        <v>0.5</v>
      </c>
      <c r="F12" s="312">
        <v>0.33</v>
      </c>
      <c r="G12" s="307" t="e">
        <f t="shared" si="3"/>
        <v>#REF!</v>
      </c>
      <c r="H12" s="312">
        <v>0.1</v>
      </c>
      <c r="I12" s="312">
        <v>0.1</v>
      </c>
      <c r="J12" s="312"/>
      <c r="K12" s="312">
        <v>0.1</v>
      </c>
      <c r="L12" s="312">
        <v>0.2</v>
      </c>
      <c r="M12" s="312"/>
      <c r="N12" s="307" t="e">
        <f>H12*$H$5+I12*$I$5+K12*$K$5+L12*$L$5</f>
        <v>#REF!</v>
      </c>
      <c r="O12" s="312">
        <v>0.3</v>
      </c>
      <c r="P12" s="312"/>
      <c r="Q12" s="313" t="e">
        <f>O12*$O$5</f>
        <v>#REF!</v>
      </c>
      <c r="R12" s="312">
        <v>0.5</v>
      </c>
      <c r="S12" s="312"/>
      <c r="T12" s="313">
        <f>R12*$R$5</f>
        <v>3.7500000000000001E-4</v>
      </c>
      <c r="U12" s="307" t="e">
        <f t="shared" si="0"/>
        <v>#REF!</v>
      </c>
      <c r="V12" s="307"/>
      <c r="W12" s="311"/>
    </row>
    <row r="13" spans="1:42" ht="18.75" hidden="1">
      <c r="A13" s="305" t="s">
        <v>59</v>
      </c>
      <c r="B13" s="316"/>
      <c r="C13" s="316"/>
      <c r="D13" s="316"/>
      <c r="E13" s="316"/>
      <c r="F13" s="316"/>
      <c r="G13" s="307" t="e">
        <f>G14+G15</f>
        <v>#REF!</v>
      </c>
      <c r="H13" s="317"/>
      <c r="I13" s="317"/>
      <c r="J13" s="317"/>
      <c r="K13" s="317"/>
      <c r="L13" s="317"/>
      <c r="M13" s="317"/>
      <c r="N13" s="307" t="e">
        <f>N14+N15</f>
        <v>#REF!</v>
      </c>
      <c r="O13" s="317"/>
      <c r="P13" s="317"/>
      <c r="Q13" s="313" t="e">
        <f>Q14+Q15</f>
        <v>#REF!</v>
      </c>
      <c r="R13" s="317"/>
      <c r="S13" s="317"/>
      <c r="T13" s="313">
        <f>T14+T15</f>
        <v>7.5000000000000002E-4</v>
      </c>
      <c r="U13" s="307" t="e">
        <f t="shared" si="0"/>
        <v>#REF!</v>
      </c>
      <c r="V13" s="307"/>
      <c r="W13" s="311"/>
    </row>
    <row r="14" spans="1:42" ht="18.75" hidden="1">
      <c r="A14" s="314" t="s">
        <v>69</v>
      </c>
      <c r="B14" s="315">
        <v>1</v>
      </c>
      <c r="C14" s="315">
        <v>0.5</v>
      </c>
      <c r="D14" s="315">
        <v>0.5</v>
      </c>
      <c r="E14" s="315">
        <v>0.5</v>
      </c>
      <c r="F14" s="315">
        <v>0.33</v>
      </c>
      <c r="G14" s="307" t="e">
        <f>B14*$B$6+C14*$C$6+D14*$D$6+E14*$E$6+F14*$F$6</f>
        <v>#REF!</v>
      </c>
      <c r="H14" s="315">
        <v>0.1</v>
      </c>
      <c r="I14" s="315">
        <v>0.1</v>
      </c>
      <c r="J14" s="315"/>
      <c r="K14" s="318"/>
      <c r="L14" s="315">
        <v>0.2</v>
      </c>
      <c r="M14" s="315"/>
      <c r="N14" s="319" t="e">
        <f>H14*$H$6+I14*$I$6+K14*$K$6+L14*$L$6</f>
        <v>#REF!</v>
      </c>
      <c r="O14" s="315">
        <v>0.3</v>
      </c>
      <c r="P14" s="315"/>
      <c r="Q14" s="320" t="e">
        <f>O14*$O$6</f>
        <v>#REF!</v>
      </c>
      <c r="R14" s="315">
        <v>0.5</v>
      </c>
      <c r="S14" s="315"/>
      <c r="T14" s="320">
        <f>R14*$R$6</f>
        <v>3.7500000000000001E-4</v>
      </c>
      <c r="U14" s="307" t="e">
        <f t="shared" si="0"/>
        <v>#REF!</v>
      </c>
      <c r="V14" s="307"/>
      <c r="W14" s="17"/>
    </row>
    <row r="15" spans="1:42" ht="18.75" hidden="1">
      <c r="A15" s="314" t="s">
        <v>64</v>
      </c>
      <c r="B15" s="315">
        <v>1</v>
      </c>
      <c r="C15" s="315">
        <v>0.5</v>
      </c>
      <c r="D15" s="318"/>
      <c r="E15" s="318"/>
      <c r="F15" s="318"/>
      <c r="G15" s="307" t="e">
        <f>B15*$B$7+C15*$C$7+D15*$D$7+E15*$E$7+F15*$F$7</f>
        <v>#REF!</v>
      </c>
      <c r="H15" s="318"/>
      <c r="I15" s="318"/>
      <c r="J15" s="318"/>
      <c r="K15" s="315">
        <v>0.1</v>
      </c>
      <c r="L15" s="315">
        <v>0.2</v>
      </c>
      <c r="M15" s="315"/>
      <c r="N15" s="319" t="e">
        <f>H15*$H$7+I15*$I$7+K15*$K$7+L15*$L$7</f>
        <v>#REF!</v>
      </c>
      <c r="O15" s="315">
        <v>0.3</v>
      </c>
      <c r="P15" s="315"/>
      <c r="Q15" s="320" t="e">
        <f>O15*$O$7</f>
        <v>#REF!</v>
      </c>
      <c r="R15" s="315">
        <v>0.5</v>
      </c>
      <c r="S15" s="315"/>
      <c r="T15" s="320">
        <f>R15*$R$7</f>
        <v>3.7500000000000001E-4</v>
      </c>
      <c r="U15" s="307" t="e">
        <f t="shared" si="0"/>
        <v>#REF!</v>
      </c>
      <c r="V15" s="307"/>
      <c r="W15" s="311"/>
    </row>
    <row r="16" spans="1:42" ht="18.75" hidden="1">
      <c r="A16" s="305" t="s">
        <v>65</v>
      </c>
      <c r="B16" s="312">
        <v>1.25</v>
      </c>
      <c r="C16" s="312">
        <v>1.25</v>
      </c>
      <c r="D16" s="312">
        <v>1.25</v>
      </c>
      <c r="E16" s="312">
        <v>1.25</v>
      </c>
      <c r="F16" s="312">
        <v>1.25</v>
      </c>
      <c r="G16" s="307" t="e">
        <f t="shared" si="3"/>
        <v>#REF!</v>
      </c>
      <c r="H16" s="312">
        <v>1.5</v>
      </c>
      <c r="I16" s="312">
        <v>1.5</v>
      </c>
      <c r="J16" s="312"/>
      <c r="K16" s="312">
        <v>1.5</v>
      </c>
      <c r="L16" s="312">
        <v>1.5</v>
      </c>
      <c r="M16" s="312"/>
      <c r="N16" s="307" t="e">
        <f>H16*$H$5+I16*$I$5+K16*$K$5+L16*$L$5</f>
        <v>#REF!</v>
      </c>
      <c r="O16" s="312">
        <v>1.75</v>
      </c>
      <c r="P16" s="312"/>
      <c r="Q16" s="313" t="e">
        <f>O16*$O$5</f>
        <v>#REF!</v>
      </c>
      <c r="R16" s="312">
        <v>1.25</v>
      </c>
      <c r="S16" s="312"/>
      <c r="T16" s="313">
        <f>R16*$R$5</f>
        <v>9.3749999999999997E-4</v>
      </c>
      <c r="U16" s="307" t="e">
        <f t="shared" si="0"/>
        <v>#REF!</v>
      </c>
      <c r="V16" s="307"/>
      <c r="W16" s="311"/>
    </row>
    <row r="17" spans="1:47" ht="18.75" hidden="1">
      <c r="A17" s="305" t="s">
        <v>61</v>
      </c>
      <c r="B17" s="317"/>
      <c r="C17" s="317"/>
      <c r="D17" s="317"/>
      <c r="E17" s="317"/>
      <c r="F17" s="317"/>
      <c r="G17" s="307" t="e">
        <f>G18+G21</f>
        <v>#REF!</v>
      </c>
      <c r="H17" s="317"/>
      <c r="I17" s="317"/>
      <c r="J17" s="317"/>
      <c r="K17" s="317"/>
      <c r="L17" s="317"/>
      <c r="M17" s="317"/>
      <c r="N17" s="307" t="e">
        <f>N18+N21</f>
        <v>#REF!</v>
      </c>
      <c r="O17" s="317"/>
      <c r="P17" s="317"/>
      <c r="Q17" s="307" t="e">
        <f>Q18+Q21</f>
        <v>#REF!</v>
      </c>
      <c r="R17" s="317"/>
      <c r="S17" s="317"/>
      <c r="T17" s="313">
        <f>T18+T21</f>
        <v>1.5E-3</v>
      </c>
      <c r="U17" s="307" t="e">
        <f>U8-U13</f>
        <v>#REF!</v>
      </c>
      <c r="V17" s="307"/>
      <c r="W17" s="17"/>
    </row>
    <row r="18" spans="1:47" ht="18.75" hidden="1">
      <c r="A18" s="305" t="s">
        <v>62</v>
      </c>
      <c r="B18" s="317"/>
      <c r="C18" s="317"/>
      <c r="D18" s="317"/>
      <c r="E18" s="317"/>
      <c r="F18" s="317"/>
      <c r="G18" s="307" t="e">
        <f>G19+G20</f>
        <v>#REF!</v>
      </c>
      <c r="H18" s="317"/>
      <c r="I18" s="317"/>
      <c r="J18" s="317"/>
      <c r="K18" s="317"/>
      <c r="L18" s="317"/>
      <c r="M18" s="317"/>
      <c r="N18" s="307" t="e">
        <f>N19+N20</f>
        <v>#REF!</v>
      </c>
      <c r="O18" s="317"/>
      <c r="P18" s="317"/>
      <c r="Q18" s="307" t="e">
        <f>Q19+Q20</f>
        <v>#REF!</v>
      </c>
      <c r="R18" s="317"/>
      <c r="S18" s="317"/>
      <c r="T18" s="307">
        <f>T19+T20</f>
        <v>1.1250000000000001E-3</v>
      </c>
      <c r="U18" s="307" t="e">
        <f>G18+N18+Q18+T18</f>
        <v>#REF!</v>
      </c>
      <c r="V18" s="307"/>
      <c r="W18" s="311"/>
    </row>
    <row r="19" spans="1:47" ht="18.75" hidden="1">
      <c r="A19" s="314" t="s">
        <v>69</v>
      </c>
      <c r="B19" s="315">
        <f>B16-B14</f>
        <v>0.25</v>
      </c>
      <c r="C19" s="315">
        <f t="shared" ref="C19:R19" si="4">C16-C14</f>
        <v>0.75</v>
      </c>
      <c r="D19" s="315">
        <f t="shared" si="4"/>
        <v>0.75</v>
      </c>
      <c r="E19" s="315">
        <f t="shared" si="4"/>
        <v>0.75</v>
      </c>
      <c r="F19" s="315">
        <f t="shared" si="4"/>
        <v>0.91999999999999993</v>
      </c>
      <c r="G19" s="319" t="e">
        <f>B19*B6+C19*C6+D19*D6+E19*E6+F19*F6</f>
        <v>#REF!</v>
      </c>
      <c r="H19" s="315">
        <f t="shared" si="4"/>
        <v>1.4</v>
      </c>
      <c r="I19" s="315">
        <f t="shared" si="4"/>
        <v>1.4</v>
      </c>
      <c r="J19" s="315"/>
      <c r="K19" s="318"/>
      <c r="L19" s="315">
        <f t="shared" si="4"/>
        <v>1.3</v>
      </c>
      <c r="M19" s="315"/>
      <c r="N19" s="319" t="e">
        <f>H19*H6+I19*I6+K19*K6+L19*L6</f>
        <v>#REF!</v>
      </c>
      <c r="O19" s="315">
        <f t="shared" si="4"/>
        <v>1.45</v>
      </c>
      <c r="P19" s="315"/>
      <c r="Q19" s="320" t="e">
        <f>O19*O6</f>
        <v>#REF!</v>
      </c>
      <c r="R19" s="315">
        <f t="shared" si="4"/>
        <v>0.75</v>
      </c>
      <c r="S19" s="315"/>
      <c r="T19" s="320">
        <f>R19*R6</f>
        <v>5.6250000000000007E-4</v>
      </c>
      <c r="U19" s="307" t="e">
        <f>G19+N19+Q19+T19</f>
        <v>#REF!</v>
      </c>
      <c r="V19" s="307"/>
      <c r="W19" s="311"/>
    </row>
    <row r="20" spans="1:47" ht="18.75" hidden="1">
      <c r="A20" s="314" t="s">
        <v>64</v>
      </c>
      <c r="B20" s="315">
        <f>B16-B15</f>
        <v>0.25</v>
      </c>
      <c r="C20" s="315">
        <f>C16-C15</f>
        <v>0.75</v>
      </c>
      <c r="D20" s="318"/>
      <c r="E20" s="318"/>
      <c r="F20" s="318"/>
      <c r="G20" s="321">
        <f>B20*B7+C20*C7</f>
        <v>0.97682999999999987</v>
      </c>
      <c r="H20" s="318"/>
      <c r="I20" s="318"/>
      <c r="J20" s="318"/>
      <c r="K20" s="315">
        <f>K16-K15</f>
        <v>1.4</v>
      </c>
      <c r="L20" s="315">
        <f>L16-L15</f>
        <v>1.3</v>
      </c>
      <c r="M20" s="315"/>
      <c r="N20" s="319" t="e">
        <f>K20*K7+L20*L7</f>
        <v>#REF!</v>
      </c>
      <c r="O20" s="315">
        <f>O16-O15</f>
        <v>1.45</v>
      </c>
      <c r="P20" s="315"/>
      <c r="Q20" s="320" t="e">
        <f>O20*O7</f>
        <v>#REF!</v>
      </c>
      <c r="R20" s="315">
        <f>R16-R15</f>
        <v>0.75</v>
      </c>
      <c r="S20" s="315"/>
      <c r="T20" s="320">
        <f>R20*R7</f>
        <v>5.6250000000000007E-4</v>
      </c>
      <c r="U20" s="319" t="e">
        <f>G20+N20+Q20+T20</f>
        <v>#REF!</v>
      </c>
      <c r="V20" s="319"/>
      <c r="W20" s="17"/>
    </row>
    <row r="21" spans="1:47" ht="18.75" hidden="1">
      <c r="A21" s="305" t="s">
        <v>63</v>
      </c>
      <c r="B21" s="312">
        <f>B11+B12-B16</f>
        <v>1</v>
      </c>
      <c r="C21" s="312">
        <f t="shared" ref="C21:L21" si="5">C11+C12-C16</f>
        <v>0.5</v>
      </c>
      <c r="D21" s="312">
        <f t="shared" si="5"/>
        <v>0.5</v>
      </c>
      <c r="E21" s="312">
        <f t="shared" si="5"/>
        <v>0.5</v>
      </c>
      <c r="F21" s="312">
        <f t="shared" si="5"/>
        <v>0.33000000000000007</v>
      </c>
      <c r="G21" s="322" t="e">
        <f>B21*B5+C21*C5+D21*D5+E21*E5+F21*F5</f>
        <v>#REF!</v>
      </c>
      <c r="H21" s="312">
        <f t="shared" si="5"/>
        <v>0.10000000000000009</v>
      </c>
      <c r="I21" s="312">
        <f t="shared" si="5"/>
        <v>0.10000000000000009</v>
      </c>
      <c r="J21" s="312"/>
      <c r="K21" s="312">
        <f t="shared" si="5"/>
        <v>0.10000000000000009</v>
      </c>
      <c r="L21" s="312">
        <f t="shared" si="5"/>
        <v>0.19999999999999996</v>
      </c>
      <c r="M21" s="312"/>
      <c r="N21" s="322" t="e">
        <f>H21*H5+I21*I5+K21*K5+L21*L5</f>
        <v>#REF!</v>
      </c>
      <c r="O21" s="312">
        <f>O11+O12-O16</f>
        <v>0.29999999999999982</v>
      </c>
      <c r="P21" s="312"/>
      <c r="Q21" s="322" t="e">
        <f>O21*O5</f>
        <v>#REF!</v>
      </c>
      <c r="R21" s="312">
        <f>R11+R12-R16</f>
        <v>0.5</v>
      </c>
      <c r="S21" s="312"/>
      <c r="T21" s="322">
        <f>R5*R21</f>
        <v>3.7500000000000001E-4</v>
      </c>
      <c r="U21" s="307" t="e">
        <f>T21+Q21+N21+G21</f>
        <v>#REF!</v>
      </c>
      <c r="V21" s="307"/>
      <c r="W21" s="311"/>
    </row>
    <row r="22" spans="1:47" ht="18.75" hidden="1">
      <c r="A22" s="311"/>
      <c r="B22" s="311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311"/>
      <c r="R22" s="311"/>
      <c r="S22" s="311"/>
      <c r="T22" s="311"/>
      <c r="U22" s="311"/>
      <c r="V22" s="311"/>
      <c r="W22" s="323"/>
    </row>
    <row r="23" spans="1:47" ht="18.75">
      <c r="A23" s="323"/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3"/>
      <c r="W23" s="324"/>
      <c r="AA23"/>
      <c r="AB23"/>
      <c r="AC23"/>
      <c r="AD23"/>
    </row>
    <row r="24" spans="1:47" ht="18.75">
      <c r="A24" s="352" t="s">
        <v>118</v>
      </c>
      <c r="B24" s="329" t="s">
        <v>119</v>
      </c>
      <c r="C24" s="352" t="s">
        <v>120</v>
      </c>
      <c r="D24" s="352"/>
      <c r="E24" s="352" t="s">
        <v>121</v>
      </c>
      <c r="F24" s="352"/>
      <c r="G24" s="352"/>
      <c r="H24" s="352"/>
      <c r="I24" s="352" t="s">
        <v>115</v>
      </c>
      <c r="J24" s="352"/>
      <c r="K24" s="352"/>
      <c r="L24" s="352" t="s">
        <v>122</v>
      </c>
      <c r="M24" s="352"/>
      <c r="N24" s="352"/>
      <c r="O24" s="352"/>
      <c r="P24" s="352"/>
      <c r="Q24" s="352"/>
      <c r="R24" s="352" t="s">
        <v>247</v>
      </c>
      <c r="S24" s="352"/>
      <c r="T24" s="352"/>
      <c r="U24" s="352" t="s">
        <v>123</v>
      </c>
      <c r="V24" s="352"/>
      <c r="W24" s="352"/>
      <c r="X24" s="352"/>
      <c r="Y24" s="352"/>
      <c r="Z24" s="352"/>
      <c r="AA24" s="352"/>
      <c r="AB24" s="352"/>
      <c r="AC24" s="352"/>
      <c r="AD24"/>
    </row>
    <row r="25" spans="1:47" ht="25.9" customHeight="1">
      <c r="A25" s="352"/>
      <c r="B25" s="329"/>
      <c r="C25" s="352"/>
      <c r="D25" s="352"/>
      <c r="E25" s="354" t="s">
        <v>112</v>
      </c>
      <c r="F25" s="354"/>
      <c r="G25" s="354" t="s">
        <v>113</v>
      </c>
      <c r="H25" s="354"/>
      <c r="I25" s="352"/>
      <c r="J25" s="352"/>
      <c r="K25" s="352"/>
      <c r="L25" s="354" t="s">
        <v>256</v>
      </c>
      <c r="M25" s="354"/>
      <c r="N25" s="354"/>
      <c r="O25" s="354" t="s">
        <v>255</v>
      </c>
      <c r="P25" s="354"/>
      <c r="Q25" s="354"/>
      <c r="R25" s="352"/>
      <c r="S25" s="352"/>
      <c r="T25" s="352"/>
      <c r="U25" s="354" t="s">
        <v>221</v>
      </c>
      <c r="V25" s="354"/>
      <c r="W25" s="354"/>
      <c r="X25" s="354"/>
      <c r="Y25" s="354"/>
      <c r="Z25" s="354"/>
      <c r="AA25" s="363" t="s">
        <v>222</v>
      </c>
      <c r="AB25" s="363"/>
      <c r="AC25" s="363"/>
      <c r="AD25"/>
    </row>
    <row r="26" spans="1:47" ht="25.9" customHeight="1">
      <c r="A26" s="352"/>
      <c r="B26" s="329"/>
      <c r="C26" s="352"/>
      <c r="D26" s="352"/>
      <c r="E26" s="354"/>
      <c r="F26" s="354"/>
      <c r="G26" s="354"/>
      <c r="H26" s="354"/>
      <c r="I26" s="178" t="s">
        <v>256</v>
      </c>
      <c r="J26" s="178" t="s">
        <v>255</v>
      </c>
      <c r="K26" s="354" t="s">
        <v>8</v>
      </c>
      <c r="L26" s="178" t="s">
        <v>143</v>
      </c>
      <c r="M26" s="178" t="s">
        <v>144</v>
      </c>
      <c r="N26" s="354" t="s">
        <v>8</v>
      </c>
      <c r="O26" s="178" t="s">
        <v>143</v>
      </c>
      <c r="P26" s="178" t="s">
        <v>144</v>
      </c>
      <c r="Q26" s="354" t="s">
        <v>8</v>
      </c>
      <c r="R26" s="178" t="s">
        <v>256</v>
      </c>
      <c r="S26" s="178" t="s">
        <v>255</v>
      </c>
      <c r="T26" s="354" t="s">
        <v>8</v>
      </c>
      <c r="U26" s="354" t="s">
        <v>256</v>
      </c>
      <c r="V26" s="354"/>
      <c r="W26" s="354"/>
      <c r="X26" s="354" t="s">
        <v>255</v>
      </c>
      <c r="Y26" s="354"/>
      <c r="Z26" s="354"/>
      <c r="AA26" s="363"/>
      <c r="AB26" s="363"/>
      <c r="AC26" s="363"/>
      <c r="AD26"/>
    </row>
    <row r="27" spans="1:47" ht="25.9" customHeight="1">
      <c r="A27" s="352"/>
      <c r="B27" s="329"/>
      <c r="C27" s="178" t="s">
        <v>124</v>
      </c>
      <c r="D27" s="178" t="s">
        <v>8</v>
      </c>
      <c r="E27" s="178" t="s">
        <v>124</v>
      </c>
      <c r="F27" s="178" t="s">
        <v>8</v>
      </c>
      <c r="G27" s="178" t="s">
        <v>124</v>
      </c>
      <c r="H27" s="178" t="s">
        <v>8</v>
      </c>
      <c r="I27" s="178" t="s">
        <v>124</v>
      </c>
      <c r="J27" s="178" t="s">
        <v>124</v>
      </c>
      <c r="K27" s="354"/>
      <c r="L27" s="178" t="s">
        <v>124</v>
      </c>
      <c r="M27" s="178" t="s">
        <v>124</v>
      </c>
      <c r="N27" s="354"/>
      <c r="O27" s="178" t="s">
        <v>124</v>
      </c>
      <c r="P27" s="178" t="s">
        <v>124</v>
      </c>
      <c r="Q27" s="354"/>
      <c r="R27" s="178" t="s">
        <v>124</v>
      </c>
      <c r="S27" s="178" t="s">
        <v>124</v>
      </c>
      <c r="T27" s="354"/>
      <c r="U27" s="178" t="s">
        <v>143</v>
      </c>
      <c r="V27" s="178" t="s">
        <v>144</v>
      </c>
      <c r="W27" s="178" t="s">
        <v>8</v>
      </c>
      <c r="X27" s="178" t="s">
        <v>143</v>
      </c>
      <c r="Y27" s="178" t="s">
        <v>144</v>
      </c>
      <c r="Z27" s="178" t="s">
        <v>8</v>
      </c>
      <c r="AA27" s="178" t="s">
        <v>256</v>
      </c>
      <c r="AB27" s="178" t="s">
        <v>255</v>
      </c>
      <c r="AC27" s="178" t="s">
        <v>8</v>
      </c>
      <c r="AD27"/>
      <c r="AE27" s="362" t="s">
        <v>71</v>
      </c>
      <c r="AF27" s="362"/>
      <c r="AG27" s="362"/>
      <c r="AH27" s="362"/>
      <c r="AI27" s="362"/>
      <c r="AK27" s="362" t="s">
        <v>69</v>
      </c>
      <c r="AL27" s="362"/>
      <c r="AM27" s="362"/>
      <c r="AN27" s="362"/>
      <c r="AO27" s="362"/>
      <c r="AQ27" s="362" t="s">
        <v>64</v>
      </c>
      <c r="AR27" s="362"/>
      <c r="AS27" s="362"/>
      <c r="AT27" s="362"/>
      <c r="AU27" s="362"/>
    </row>
    <row r="28" spans="1:47" ht="18" customHeight="1">
      <c r="A28" s="178" t="s">
        <v>93</v>
      </c>
      <c r="B28" s="178"/>
      <c r="C28" s="178"/>
      <c r="D28" s="183">
        <f>D29+D30+D35+D41</f>
        <v>43.555226400000002</v>
      </c>
      <c r="E28" s="178"/>
      <c r="F28" s="178"/>
      <c r="G28" s="178"/>
      <c r="H28" s="183">
        <f>H29+H30+H35+H41</f>
        <v>31.667712000000002</v>
      </c>
      <c r="I28" s="96"/>
      <c r="J28" s="178"/>
      <c r="K28" s="183">
        <f>K29+K30+K35+K41</f>
        <v>11.887514400000001</v>
      </c>
      <c r="L28" s="178"/>
      <c r="M28" s="96"/>
      <c r="N28" s="183">
        <f>N29+N30+N35+N41</f>
        <v>7.4312819999999995</v>
      </c>
      <c r="O28" s="178"/>
      <c r="P28" s="96"/>
      <c r="Q28" s="117">
        <f>Q29+Q30+Q35+Q41</f>
        <v>1.5270187999999998</v>
      </c>
      <c r="R28" s="96"/>
      <c r="S28" s="178"/>
      <c r="T28" s="183">
        <f>T29+T30+T35+T41</f>
        <v>34.2043824</v>
      </c>
      <c r="U28" s="178"/>
      <c r="V28" s="178"/>
      <c r="W28" s="183">
        <f>W29+W30+W35+W41</f>
        <v>24.584358000000002</v>
      </c>
      <c r="X28" s="178"/>
      <c r="Y28" s="178"/>
      <c r="Z28" s="183">
        <f>Z29+Z30+Z35+Z41</f>
        <v>2.6139735999999991</v>
      </c>
      <c r="AA28" s="178"/>
      <c r="AB28" s="178"/>
      <c r="AC28" s="183">
        <f>AC29+AC30+AC35+AC41</f>
        <v>9.3508440000000022</v>
      </c>
      <c r="AD28"/>
      <c r="AE28" s="20"/>
      <c r="AF28" s="19" t="s">
        <v>44</v>
      </c>
      <c r="AG28" s="24" t="s">
        <v>45</v>
      </c>
      <c r="AH28" s="31" t="s">
        <v>46</v>
      </c>
      <c r="AI28" s="24" t="s">
        <v>47</v>
      </c>
      <c r="AK28" s="20"/>
      <c r="AL28" s="19" t="s">
        <v>44</v>
      </c>
      <c r="AM28" s="24" t="s">
        <v>45</v>
      </c>
      <c r="AN28" s="31" t="s">
        <v>46</v>
      </c>
      <c r="AO28" s="24" t="s">
        <v>47</v>
      </c>
      <c r="AQ28" s="20"/>
      <c r="AR28" s="19" t="s">
        <v>44</v>
      </c>
      <c r="AS28" s="24" t="s">
        <v>45</v>
      </c>
      <c r="AT28" s="31" t="s">
        <v>46</v>
      </c>
      <c r="AU28" s="24" t="s">
        <v>47</v>
      </c>
    </row>
    <row r="29" spans="1:47" ht="18.75">
      <c r="A29" s="178" t="s">
        <v>125</v>
      </c>
      <c r="B29" s="184">
        <f>AF29</f>
        <v>9</v>
      </c>
      <c r="C29" s="179">
        <f>ChiLenhHCKT!D8</f>
        <v>2.2999999999999998</v>
      </c>
      <c r="D29" s="185">
        <f>C29*AI29</f>
        <v>4.2227999999999994</v>
      </c>
      <c r="E29" s="179"/>
      <c r="F29" s="179"/>
      <c r="G29" s="179">
        <f>ChiLenhHCKT!H8</f>
        <v>1.5</v>
      </c>
      <c r="H29" s="185">
        <f>G29*AI29</f>
        <v>2.754</v>
      </c>
      <c r="I29" s="97">
        <v>0.3</v>
      </c>
      <c r="J29" s="179">
        <f>ChiLenhHCKT!F8-Đạn!I29</f>
        <v>0.5</v>
      </c>
      <c r="K29" s="185">
        <f>(I29+J29)*AI29</f>
        <v>1.4688000000000001</v>
      </c>
      <c r="L29" s="179">
        <f>TinhHinhVC!E13</f>
        <v>0.3</v>
      </c>
      <c r="M29" s="97">
        <v>0.3</v>
      </c>
      <c r="N29" s="185">
        <f>L29*AO29+M29*AU29</f>
        <v>0.55079999999999996</v>
      </c>
      <c r="O29" s="179">
        <f>TinhHinhVC!D13</f>
        <v>0.15</v>
      </c>
      <c r="P29" s="97"/>
      <c r="Q29" s="118">
        <f>O29*AO29+P29*AU29</f>
        <v>9.1799999999999993E-2</v>
      </c>
      <c r="R29" s="97">
        <v>1.25</v>
      </c>
      <c r="S29" s="179">
        <f>ChiLenhHCKT!E8-Đạn!R29</f>
        <v>0.5</v>
      </c>
      <c r="T29" s="185">
        <f>(R29+S29)*AI29</f>
        <v>3.2130000000000001</v>
      </c>
      <c r="U29" s="179">
        <f>E29+R29-L29</f>
        <v>0.95</v>
      </c>
      <c r="V29" s="179">
        <f>E29+R29-M29</f>
        <v>0.95</v>
      </c>
      <c r="W29" s="185">
        <f>U29*AO29+V29*AU29</f>
        <v>1.7441999999999998</v>
      </c>
      <c r="X29" s="179">
        <f>E29+S29-O29</f>
        <v>0.35</v>
      </c>
      <c r="Y29" s="179">
        <f>E29+S29-P29</f>
        <v>0.5</v>
      </c>
      <c r="Z29" s="185">
        <f>X29*AO29+Y29*AU29</f>
        <v>0.82619999999999993</v>
      </c>
      <c r="AA29" s="179">
        <f>G29+I29-R29</f>
        <v>0.55000000000000004</v>
      </c>
      <c r="AB29" s="179">
        <f>J29-S29</f>
        <v>0</v>
      </c>
      <c r="AC29" s="185">
        <f>(AA29+AB29)*AI29</f>
        <v>1.0098</v>
      </c>
      <c r="AD29"/>
      <c r="AE29" s="19" t="s">
        <v>60</v>
      </c>
      <c r="AF29" s="40">
        <f>QSTBKT!M19</f>
        <v>9</v>
      </c>
      <c r="AG29" s="129">
        <v>0.17</v>
      </c>
      <c r="AH29" s="129">
        <v>1200</v>
      </c>
      <c r="AI29" s="29">
        <f t="shared" ref="AI29:AI36" si="6">AF29*AG29*AH29/1000</f>
        <v>1.8360000000000001</v>
      </c>
      <c r="AJ29" s="1"/>
      <c r="AK29" s="19" t="s">
        <v>60</v>
      </c>
      <c r="AL29" s="40">
        <f>QSTBKT!M6</f>
        <v>3</v>
      </c>
      <c r="AM29" s="129">
        <v>0.17</v>
      </c>
      <c r="AN29" s="129">
        <v>1200</v>
      </c>
      <c r="AO29" s="129">
        <v>0.61199999999999999</v>
      </c>
      <c r="AP29" s="1"/>
      <c r="AQ29" s="19" t="s">
        <v>60</v>
      </c>
      <c r="AR29" s="40">
        <f>QSTBKT!M8</f>
        <v>6</v>
      </c>
      <c r="AS29" s="129">
        <v>0.17</v>
      </c>
      <c r="AT29" s="129">
        <v>1200</v>
      </c>
      <c r="AU29" s="29">
        <f t="shared" ref="AU29:AU36" si="7">AR29*AS29*AT29/1000</f>
        <v>1.224</v>
      </c>
    </row>
    <row r="30" spans="1:47" ht="18.75">
      <c r="A30" s="178" t="s">
        <v>135</v>
      </c>
      <c r="B30" s="184"/>
      <c r="C30" s="179"/>
      <c r="D30" s="183">
        <f>D31+D32+D33+D34</f>
        <v>20.966250000000002</v>
      </c>
      <c r="E30" s="178"/>
      <c r="F30" s="178"/>
      <c r="G30" s="178"/>
      <c r="H30" s="183">
        <f>H31+H32+H33+H34</f>
        <v>17.835000000000001</v>
      </c>
      <c r="I30" s="96"/>
      <c r="J30" s="178"/>
      <c r="K30" s="183">
        <f>K31+K32+K33+K34</f>
        <v>3.1312500000000005</v>
      </c>
      <c r="L30" s="178"/>
      <c r="M30" s="96"/>
      <c r="N30" s="183">
        <f>N31+N32+N33+N34</f>
        <v>1.9278000000000004</v>
      </c>
      <c r="O30" s="178"/>
      <c r="P30" s="96"/>
      <c r="Q30" s="117">
        <f>Q31+Q32+Q33+Q34</f>
        <v>0.44930000000000003</v>
      </c>
      <c r="R30" s="96"/>
      <c r="S30" s="178"/>
      <c r="T30" s="183">
        <f>T31+T32+T33+T34</f>
        <v>16.328849999999999</v>
      </c>
      <c r="U30" s="178"/>
      <c r="V30" s="178"/>
      <c r="W30" s="183">
        <f>W31+W32+W33+W34</f>
        <v>13.231200000000001</v>
      </c>
      <c r="X30" s="178"/>
      <c r="Y30" s="178"/>
      <c r="Z30" s="183">
        <f>Z31+Z32+Z33+Z34</f>
        <v>0.72054999999999936</v>
      </c>
      <c r="AA30" s="178"/>
      <c r="AB30" s="178"/>
      <c r="AC30" s="183">
        <f>AC31+AC32+AC33+AC34</f>
        <v>4.6374000000000013</v>
      </c>
      <c r="AD30"/>
      <c r="AE30" s="361" t="s">
        <v>68</v>
      </c>
      <c r="AF30" s="361"/>
      <c r="AG30" s="361"/>
      <c r="AH30" s="361"/>
      <c r="AI30" s="29">
        <f t="shared" si="6"/>
        <v>0</v>
      </c>
      <c r="AJ30" s="1"/>
      <c r="AK30" s="361" t="s">
        <v>68</v>
      </c>
      <c r="AL30" s="361"/>
      <c r="AM30" s="361"/>
      <c r="AN30" s="361"/>
      <c r="AO30" s="128"/>
      <c r="AP30" s="1"/>
      <c r="AQ30" s="361" t="s">
        <v>68</v>
      </c>
      <c r="AR30" s="361"/>
      <c r="AS30" s="361"/>
      <c r="AT30" s="361"/>
      <c r="AU30" s="29"/>
    </row>
    <row r="31" spans="1:47" ht="18.75">
      <c r="A31" s="179" t="s">
        <v>126</v>
      </c>
      <c r="B31" s="184">
        <f t="shared" ref="B31:B41" si="8">AF31</f>
        <v>4</v>
      </c>
      <c r="C31" s="179">
        <f>ChiLenhHCKT!D9</f>
        <v>1.35</v>
      </c>
      <c r="D31" s="185">
        <f t="shared" ref="D31:D40" si="9">C31*AI31</f>
        <v>9.9360000000000017</v>
      </c>
      <c r="E31" s="179"/>
      <c r="F31" s="179"/>
      <c r="G31" s="179">
        <f>ChiLenhHCKT!H9</f>
        <v>1.25</v>
      </c>
      <c r="H31" s="185">
        <f t="shared" ref="H31:H41" si="10">G31*AI31</f>
        <v>9.2000000000000011</v>
      </c>
      <c r="I31" s="97">
        <v>0.1</v>
      </c>
      <c r="J31" s="179">
        <f>ChiLenhHCKT!F9-Đạn!I31</f>
        <v>0</v>
      </c>
      <c r="K31" s="185">
        <f t="shared" ref="K31:K41" si="11">(I31+J31)*AI31</f>
        <v>0.7360000000000001</v>
      </c>
      <c r="L31" s="179">
        <f>TinhHinhVC!E12</f>
        <v>0</v>
      </c>
      <c r="M31" s="97">
        <v>0.1</v>
      </c>
      <c r="N31" s="185">
        <f t="shared" ref="N31:N41" si="12">L31*AO31+M31*AU31</f>
        <v>0.7360000000000001</v>
      </c>
      <c r="O31" s="179">
        <f>TinhHinhVC!D12</f>
        <v>0</v>
      </c>
      <c r="P31" s="97"/>
      <c r="Q31" s="118">
        <f t="shared" ref="Q31:Q41" si="13">O31*AO31+P31*AU31</f>
        <v>0</v>
      </c>
      <c r="R31" s="97">
        <v>1</v>
      </c>
      <c r="S31" s="179">
        <f>ChiLenhHCKT!E9-Đạn!R31</f>
        <v>0</v>
      </c>
      <c r="T31" s="185">
        <f t="shared" ref="T31:T41" si="14">(R31+S31)*AI31</f>
        <v>7.36</v>
      </c>
      <c r="U31" s="179">
        <f>E31+R31-L31</f>
        <v>1</v>
      </c>
      <c r="V31" s="179">
        <f>E31+R31-M31</f>
        <v>0.9</v>
      </c>
      <c r="W31" s="185">
        <f t="shared" ref="W31:W41" si="15">U31*AO31+V31*AU31</f>
        <v>6.6240000000000006</v>
      </c>
      <c r="X31" s="179">
        <f>E31+S31-O31</f>
        <v>0</v>
      </c>
      <c r="Y31" s="179">
        <f>E31+S31-P31</f>
        <v>0</v>
      </c>
      <c r="Z31" s="185">
        <f t="shared" ref="Z31:Z41" si="16">X31*AO31+Y31*AU31</f>
        <v>0</v>
      </c>
      <c r="AA31" s="179">
        <f>G31+I31-R31</f>
        <v>0.35000000000000009</v>
      </c>
      <c r="AB31" s="179">
        <f>J31-S31</f>
        <v>0</v>
      </c>
      <c r="AC31" s="185">
        <f t="shared" ref="AC31:AC41" si="17">(AA31+AB31)*AI31</f>
        <v>2.576000000000001</v>
      </c>
      <c r="AD31"/>
      <c r="AE31" s="19" t="s">
        <v>58</v>
      </c>
      <c r="AF31" s="40">
        <f>QSTBKT!K19</f>
        <v>4</v>
      </c>
      <c r="AG31" s="129">
        <v>23</v>
      </c>
      <c r="AH31" s="129">
        <v>80</v>
      </c>
      <c r="AI31" s="29">
        <f>AF31*AG31*AH31/1000</f>
        <v>7.36</v>
      </c>
      <c r="AJ31" s="1"/>
      <c r="AK31" s="19" t="s">
        <v>58</v>
      </c>
      <c r="AL31" s="40">
        <f>QSTBKT!K6</f>
        <v>0</v>
      </c>
      <c r="AM31" s="129">
        <v>23</v>
      </c>
      <c r="AN31" s="129">
        <v>80</v>
      </c>
      <c r="AO31" s="128">
        <f>AL31*AM31*AN31/1000</f>
        <v>0</v>
      </c>
      <c r="AP31" s="1"/>
      <c r="AQ31" s="19" t="s">
        <v>58</v>
      </c>
      <c r="AR31" s="40">
        <f>QSTBKT!K8</f>
        <v>4</v>
      </c>
      <c r="AS31" s="129">
        <v>23</v>
      </c>
      <c r="AT31" s="129">
        <v>80</v>
      </c>
      <c r="AU31" s="29">
        <f>AR31*AS31*AT31/1000</f>
        <v>7.36</v>
      </c>
    </row>
    <row r="32" spans="1:47" ht="18.75">
      <c r="A32" s="180" t="s">
        <v>127</v>
      </c>
      <c r="B32" s="184">
        <f t="shared" si="8"/>
        <v>4</v>
      </c>
      <c r="C32" s="180">
        <f>ChiLenhHCKT!D10</f>
        <v>1.5</v>
      </c>
      <c r="D32" s="185">
        <f t="shared" si="9"/>
        <v>3</v>
      </c>
      <c r="E32" s="179"/>
      <c r="F32" s="179"/>
      <c r="G32" s="179">
        <f>ChiLenhHCKT!H10</f>
        <v>1.25</v>
      </c>
      <c r="H32" s="185">
        <f t="shared" si="10"/>
        <v>2.5</v>
      </c>
      <c r="I32" s="97">
        <v>0.1</v>
      </c>
      <c r="J32" s="179">
        <f>ChiLenhHCKT!F10-Đạn!I32</f>
        <v>0.15</v>
      </c>
      <c r="K32" s="185">
        <f t="shared" si="11"/>
        <v>0.5</v>
      </c>
      <c r="L32" s="179">
        <f>TinhHinhVC!E11</f>
        <v>0.1</v>
      </c>
      <c r="M32" s="97">
        <v>0</v>
      </c>
      <c r="N32" s="185">
        <f t="shared" si="12"/>
        <v>0.2</v>
      </c>
      <c r="O32" s="179">
        <f>TinhHinhVC!D11</f>
        <v>0.1</v>
      </c>
      <c r="P32" s="97"/>
      <c r="Q32" s="118">
        <f t="shared" si="13"/>
        <v>0.2</v>
      </c>
      <c r="R32" s="97">
        <v>1</v>
      </c>
      <c r="S32" s="179">
        <f>ChiLenhHCKT!E10-Đạn!R32</f>
        <v>0.14999999999999991</v>
      </c>
      <c r="T32" s="185">
        <f t="shared" si="14"/>
        <v>2.2999999999999998</v>
      </c>
      <c r="U32" s="179">
        <f t="shared" ref="U32:U34" si="18">E32+R32-L32</f>
        <v>0.9</v>
      </c>
      <c r="V32" s="179">
        <f t="shared" ref="V32:V34" si="19">E32+R32-M32</f>
        <v>1</v>
      </c>
      <c r="W32" s="185">
        <f t="shared" si="15"/>
        <v>1.8</v>
      </c>
      <c r="X32" s="179">
        <f t="shared" ref="X32:X34" si="20">E32+S32-O32</f>
        <v>4.9999999999999906E-2</v>
      </c>
      <c r="Y32" s="179">
        <f t="shared" ref="Y32:Y41" si="21">E32+S32-P32</f>
        <v>0.14999999999999991</v>
      </c>
      <c r="Z32" s="185">
        <f t="shared" si="16"/>
        <v>9.9999999999999811E-2</v>
      </c>
      <c r="AA32" s="179">
        <f t="shared" ref="AA32:AA41" si="22">G32+I32-R32</f>
        <v>0.35000000000000009</v>
      </c>
      <c r="AB32" s="179">
        <f t="shared" ref="AB32:AB34" si="23">J32-S32</f>
        <v>0</v>
      </c>
      <c r="AC32" s="185">
        <f t="shared" si="17"/>
        <v>0.70000000000000018</v>
      </c>
      <c r="AD32"/>
      <c r="AE32" s="19" t="s">
        <v>57</v>
      </c>
      <c r="AF32" s="40">
        <f>QSTBKT!J19</f>
        <v>4</v>
      </c>
      <c r="AG32" s="129">
        <v>5</v>
      </c>
      <c r="AH32" s="129">
        <v>100</v>
      </c>
      <c r="AI32" s="29">
        <f>AF32*AG32*AH32/1000</f>
        <v>2</v>
      </c>
      <c r="AJ32" s="1"/>
      <c r="AK32" s="19" t="s">
        <v>57</v>
      </c>
      <c r="AL32" s="40">
        <f>QSTBKT!J6</f>
        <v>4</v>
      </c>
      <c r="AM32" s="129">
        <v>5</v>
      </c>
      <c r="AN32" s="129">
        <v>100</v>
      </c>
      <c r="AO32" s="128">
        <f>AL32*AM32*AN32/1000</f>
        <v>2</v>
      </c>
      <c r="AP32" s="1"/>
      <c r="AQ32" s="19" t="s">
        <v>57</v>
      </c>
      <c r="AR32" s="40">
        <f>QSTBKT!J8</f>
        <v>0</v>
      </c>
      <c r="AS32" s="129">
        <v>5</v>
      </c>
      <c r="AT32" s="129">
        <v>100</v>
      </c>
      <c r="AU32" s="29">
        <f>AR32*AS32*AT32/1000</f>
        <v>0</v>
      </c>
    </row>
    <row r="33" spans="1:47" ht="18" customHeight="1">
      <c r="A33" s="180" t="s">
        <v>128</v>
      </c>
      <c r="B33" s="184">
        <f t="shared" si="8"/>
        <v>8</v>
      </c>
      <c r="C33" s="180">
        <f>ChiLenhHCKT!D11</f>
        <v>1.5</v>
      </c>
      <c r="D33" s="185">
        <f t="shared" si="9"/>
        <v>2.016</v>
      </c>
      <c r="E33" s="179"/>
      <c r="F33" s="179"/>
      <c r="G33" s="179">
        <f>ChiLenhHCKT!H11</f>
        <v>1.25</v>
      </c>
      <c r="H33" s="185">
        <f t="shared" si="10"/>
        <v>1.6800000000000002</v>
      </c>
      <c r="I33" s="97">
        <v>0.1</v>
      </c>
      <c r="J33" s="179">
        <f>ChiLenhHCKT!F11-Đạn!I33</f>
        <v>0.15</v>
      </c>
      <c r="K33" s="185">
        <f t="shared" si="11"/>
        <v>0.33600000000000002</v>
      </c>
      <c r="L33" s="179">
        <f>TinhHinhVC!E10</f>
        <v>0.1</v>
      </c>
      <c r="M33" s="97">
        <v>0</v>
      </c>
      <c r="N33" s="185">
        <f t="shared" si="12"/>
        <v>0.1008</v>
      </c>
      <c r="O33" s="179">
        <f>TinhHinhVC!D10</f>
        <v>0.1</v>
      </c>
      <c r="P33" s="97"/>
      <c r="Q33" s="118">
        <f t="shared" si="13"/>
        <v>0.1008</v>
      </c>
      <c r="R33" s="97">
        <v>1</v>
      </c>
      <c r="S33" s="179">
        <f>ChiLenhHCKT!E11-Đạn!R33</f>
        <v>0.14999999999999991</v>
      </c>
      <c r="T33" s="185">
        <f t="shared" si="14"/>
        <v>1.5456000000000001</v>
      </c>
      <c r="U33" s="179">
        <f t="shared" si="18"/>
        <v>0.9</v>
      </c>
      <c r="V33" s="179">
        <f t="shared" si="19"/>
        <v>1</v>
      </c>
      <c r="W33" s="185">
        <f t="shared" si="15"/>
        <v>1.2432000000000001</v>
      </c>
      <c r="X33" s="179">
        <f t="shared" si="20"/>
        <v>4.9999999999999906E-2</v>
      </c>
      <c r="Y33" s="179">
        <f t="shared" si="21"/>
        <v>0.14999999999999991</v>
      </c>
      <c r="Z33" s="185">
        <f t="shared" si="16"/>
        <v>0.10079999999999988</v>
      </c>
      <c r="AA33" s="179">
        <f t="shared" si="22"/>
        <v>0.35000000000000009</v>
      </c>
      <c r="AB33" s="179">
        <f t="shared" si="23"/>
        <v>0</v>
      </c>
      <c r="AC33" s="185">
        <f t="shared" si="17"/>
        <v>0.47040000000000015</v>
      </c>
      <c r="AD33"/>
      <c r="AE33" s="19" t="s">
        <v>56</v>
      </c>
      <c r="AF33" s="40">
        <f>QSTBKT!I19</f>
        <v>8</v>
      </c>
      <c r="AG33" s="129">
        <v>2.1</v>
      </c>
      <c r="AH33" s="129">
        <v>80</v>
      </c>
      <c r="AI33" s="29">
        <f>AF33*AG33*AH33/1000</f>
        <v>1.3440000000000001</v>
      </c>
      <c r="AJ33" s="1"/>
      <c r="AK33" s="19" t="s">
        <v>56</v>
      </c>
      <c r="AL33" s="40">
        <f>QSTBKT!I6</f>
        <v>6</v>
      </c>
      <c r="AM33" s="129">
        <v>2.1</v>
      </c>
      <c r="AN33" s="129">
        <v>80</v>
      </c>
      <c r="AO33" s="128">
        <f>AL33*AM33*AN33/1000</f>
        <v>1.008</v>
      </c>
      <c r="AP33" s="1"/>
      <c r="AQ33" s="19" t="s">
        <v>56</v>
      </c>
      <c r="AR33" s="40">
        <f>QSTBKT!I8</f>
        <v>2</v>
      </c>
      <c r="AS33" s="129">
        <v>2.1</v>
      </c>
      <c r="AT33" s="129">
        <v>80</v>
      </c>
      <c r="AU33" s="29">
        <f>AR33*AS33*AT33/1000</f>
        <v>0.33600000000000002</v>
      </c>
    </row>
    <row r="34" spans="1:47" ht="18" customHeight="1">
      <c r="A34" s="180" t="s">
        <v>129</v>
      </c>
      <c r="B34" s="184">
        <f t="shared" si="8"/>
        <v>9</v>
      </c>
      <c r="C34" s="180">
        <f>ChiLenhHCKT!D12</f>
        <v>1.35</v>
      </c>
      <c r="D34" s="185">
        <f t="shared" si="9"/>
        <v>6.0142500000000005</v>
      </c>
      <c r="E34" s="179"/>
      <c r="F34" s="179"/>
      <c r="G34" s="179">
        <f>ChiLenhHCKT!H12</f>
        <v>1</v>
      </c>
      <c r="H34" s="185">
        <f t="shared" si="10"/>
        <v>4.4550000000000001</v>
      </c>
      <c r="I34" s="97">
        <v>0.2</v>
      </c>
      <c r="J34" s="179">
        <f>ChiLenhHCKT!F12-Đạn!I34</f>
        <v>0.14999999999999997</v>
      </c>
      <c r="K34" s="185">
        <f t="shared" si="11"/>
        <v>1.55925</v>
      </c>
      <c r="L34" s="179">
        <f>TinhHinhVC!E9</f>
        <v>0.2</v>
      </c>
      <c r="M34" s="97">
        <v>0.2</v>
      </c>
      <c r="N34" s="185">
        <f t="shared" si="12"/>
        <v>0.89100000000000013</v>
      </c>
      <c r="O34" s="179">
        <f>TinhHinhVC!D9</f>
        <v>0.1</v>
      </c>
      <c r="P34" s="97"/>
      <c r="Q34" s="118">
        <f t="shared" si="13"/>
        <v>0.14850000000000002</v>
      </c>
      <c r="R34" s="97">
        <v>1</v>
      </c>
      <c r="S34" s="179">
        <f>ChiLenhHCKT!E12-Đạn!R34</f>
        <v>0.14999999999999991</v>
      </c>
      <c r="T34" s="185">
        <f t="shared" si="14"/>
        <v>5.1232499999999996</v>
      </c>
      <c r="U34" s="179">
        <f t="shared" si="18"/>
        <v>0.8</v>
      </c>
      <c r="V34" s="179">
        <f t="shared" si="19"/>
        <v>0.8</v>
      </c>
      <c r="W34" s="185">
        <f t="shared" si="15"/>
        <v>3.5640000000000005</v>
      </c>
      <c r="X34" s="179">
        <f t="shared" si="20"/>
        <v>4.9999999999999906E-2</v>
      </c>
      <c r="Y34" s="179">
        <f t="shared" si="21"/>
        <v>0.14999999999999991</v>
      </c>
      <c r="Z34" s="185">
        <f t="shared" si="16"/>
        <v>0.51974999999999971</v>
      </c>
      <c r="AA34" s="179">
        <f t="shared" si="22"/>
        <v>0.19999999999999996</v>
      </c>
      <c r="AB34" s="179">
        <f t="shared" si="23"/>
        <v>0</v>
      </c>
      <c r="AC34" s="185">
        <f t="shared" si="17"/>
        <v>0.89099999999999979</v>
      </c>
      <c r="AD34"/>
      <c r="AE34" s="19" t="s">
        <v>12</v>
      </c>
      <c r="AF34" s="40">
        <f>QSTBKT!L19</f>
        <v>9</v>
      </c>
      <c r="AG34" s="129">
        <v>16.5</v>
      </c>
      <c r="AH34" s="129">
        <v>30</v>
      </c>
      <c r="AI34" s="29">
        <f>AF34*AG34*AH34/1000</f>
        <v>4.4550000000000001</v>
      </c>
      <c r="AJ34" s="1"/>
      <c r="AK34" s="19" t="s">
        <v>12</v>
      </c>
      <c r="AL34" s="40">
        <f>QSTBKT!L6</f>
        <v>3</v>
      </c>
      <c r="AM34" s="129">
        <v>16.5</v>
      </c>
      <c r="AN34" s="129">
        <v>30</v>
      </c>
      <c r="AO34" s="128">
        <f>AL34*AM34*AN34/1000</f>
        <v>1.4850000000000001</v>
      </c>
      <c r="AQ34" s="19" t="s">
        <v>12</v>
      </c>
      <c r="AR34" s="40">
        <f>QSTBKT!L8</f>
        <v>6</v>
      </c>
      <c r="AS34" s="129">
        <v>16.5</v>
      </c>
      <c r="AT34" s="129">
        <v>30</v>
      </c>
      <c r="AU34" s="29">
        <f>AR34*AS34*AT34/1000</f>
        <v>2.97</v>
      </c>
    </row>
    <row r="35" spans="1:47" ht="18" customHeight="1">
      <c r="A35" s="181" t="s">
        <v>136</v>
      </c>
      <c r="B35" s="184"/>
      <c r="C35" s="180"/>
      <c r="D35" s="183">
        <f>D36+D37+D38+D39+D40</f>
        <v>15.288926399999999</v>
      </c>
      <c r="E35" s="178"/>
      <c r="F35" s="178"/>
      <c r="G35" s="178"/>
      <c r="H35" s="183">
        <f>H36+H37+H38+H39+H40</f>
        <v>9.9537119999999994</v>
      </c>
      <c r="I35" s="96"/>
      <c r="J35" s="178"/>
      <c r="K35" s="183">
        <f>K36+K37+K38+K39+K40</f>
        <v>5.3352143999999999</v>
      </c>
      <c r="L35" s="178"/>
      <c r="M35" s="96"/>
      <c r="N35" s="183">
        <f>N36+N37+N38+N39+N40</f>
        <v>3.1504319999999995</v>
      </c>
      <c r="O35" s="178"/>
      <c r="P35" s="96"/>
      <c r="Q35" s="117">
        <f>Q36+Q37+Q38+Q39+Q40</f>
        <v>0.91091879999999992</v>
      </c>
      <c r="R35" s="96"/>
      <c r="S35" s="178"/>
      <c r="T35" s="183">
        <f>T36+T37+T38+T39+T40</f>
        <v>12.710282400000001</v>
      </c>
      <c r="U35" s="181"/>
      <c r="V35" s="181"/>
      <c r="W35" s="183">
        <f>W36+W37+W38+W39+W40</f>
        <v>7.8067079999999995</v>
      </c>
      <c r="X35" s="178"/>
      <c r="Y35" s="178"/>
      <c r="Z35" s="183">
        <f>Z36+Z37+Z38+Z39+Z40</f>
        <v>0.84222359999999952</v>
      </c>
      <c r="AA35" s="178"/>
      <c r="AB35" s="178"/>
      <c r="AC35" s="183">
        <f>AC36+AC37+AC38+AC39+AC40</f>
        <v>2.5786440000000002</v>
      </c>
      <c r="AD35"/>
      <c r="AE35" s="361" t="s">
        <v>54</v>
      </c>
      <c r="AF35" s="361"/>
      <c r="AG35" s="361"/>
      <c r="AH35" s="361"/>
      <c r="AI35" s="29">
        <f t="shared" si="6"/>
        <v>0</v>
      </c>
      <c r="AJ35" s="1"/>
      <c r="AK35" s="361" t="s">
        <v>54</v>
      </c>
      <c r="AL35" s="361"/>
      <c r="AM35" s="361"/>
      <c r="AN35" s="361"/>
      <c r="AO35" s="128"/>
      <c r="AP35" s="1"/>
      <c r="AQ35" s="361" t="s">
        <v>54</v>
      </c>
      <c r="AR35" s="361"/>
      <c r="AS35" s="361"/>
      <c r="AT35" s="361"/>
      <c r="AU35" s="29"/>
    </row>
    <row r="36" spans="1:47" ht="18" customHeight="1">
      <c r="A36" s="180" t="s">
        <v>130</v>
      </c>
      <c r="B36" s="184">
        <f t="shared" si="8"/>
        <v>72</v>
      </c>
      <c r="C36" s="180">
        <f>ChiLenhHCKT!D13</f>
        <v>1.78</v>
      </c>
      <c r="D36" s="185">
        <f t="shared" si="9"/>
        <v>8.4585600000000003</v>
      </c>
      <c r="E36" s="179"/>
      <c r="F36" s="179"/>
      <c r="G36" s="180">
        <f>ChiLenhHCKT!H13</f>
        <v>1.25</v>
      </c>
      <c r="H36" s="185">
        <f t="shared" si="10"/>
        <v>5.9399999999999995</v>
      </c>
      <c r="I36" s="98">
        <v>0.33</v>
      </c>
      <c r="J36" s="180">
        <f>ChiLenhHCKT!F13-Đạn!I36</f>
        <v>0.2</v>
      </c>
      <c r="K36" s="185">
        <f t="shared" si="11"/>
        <v>2.5185599999999999</v>
      </c>
      <c r="L36" s="180">
        <f>TinhHinhVC!E8</f>
        <v>0.33</v>
      </c>
      <c r="M36" s="98">
        <v>0</v>
      </c>
      <c r="N36" s="185">
        <f t="shared" si="12"/>
        <v>1.1761200000000001</v>
      </c>
      <c r="O36" s="180">
        <f>TinhHinhVC!D8</f>
        <v>0.15</v>
      </c>
      <c r="P36" s="98"/>
      <c r="Q36" s="118">
        <f t="shared" si="13"/>
        <v>0.53459999999999996</v>
      </c>
      <c r="R36" s="98">
        <v>1.25</v>
      </c>
      <c r="S36" s="180">
        <f>ChiLenhHCKT!E13-Đạn!R36</f>
        <v>0.19999999999999996</v>
      </c>
      <c r="T36" s="185">
        <f t="shared" si="14"/>
        <v>6.8903999999999996</v>
      </c>
      <c r="U36" s="179">
        <f>E36+R36-L36</f>
        <v>0.91999999999999993</v>
      </c>
      <c r="V36" s="179">
        <f>E36+R36-M36</f>
        <v>1.25</v>
      </c>
      <c r="W36" s="185">
        <f t="shared" si="15"/>
        <v>4.7638800000000003</v>
      </c>
      <c r="X36" s="179">
        <f>E36+S36-O36</f>
        <v>4.9999999999999961E-2</v>
      </c>
      <c r="Y36" s="179">
        <f t="shared" si="21"/>
        <v>0.19999999999999996</v>
      </c>
      <c r="Z36" s="185">
        <f t="shared" si="16"/>
        <v>0.41579999999999978</v>
      </c>
      <c r="AA36" s="179">
        <f t="shared" si="22"/>
        <v>0.33000000000000007</v>
      </c>
      <c r="AB36" s="179">
        <f>J36-S36</f>
        <v>0</v>
      </c>
      <c r="AC36" s="185">
        <f t="shared" si="17"/>
        <v>1.5681600000000002</v>
      </c>
      <c r="AD36"/>
      <c r="AE36" s="19" t="s">
        <v>52</v>
      </c>
      <c r="AF36" s="40">
        <f>QSTBKT!G19</f>
        <v>72</v>
      </c>
      <c r="AG36" s="129">
        <v>5.5</v>
      </c>
      <c r="AH36" s="129">
        <v>12</v>
      </c>
      <c r="AI36" s="29">
        <f t="shared" si="6"/>
        <v>4.7519999999999998</v>
      </c>
      <c r="AJ36" s="1"/>
      <c r="AK36" s="19" t="s">
        <v>52</v>
      </c>
      <c r="AL36" s="40">
        <f>QSTBKT!G6</f>
        <v>54</v>
      </c>
      <c r="AM36" s="1">
        <v>5.5</v>
      </c>
      <c r="AN36" s="1">
        <v>12</v>
      </c>
      <c r="AO36" s="29">
        <f t="shared" ref="AO36" si="24">AL36*AM36*AN36/1000</f>
        <v>3.5640000000000001</v>
      </c>
      <c r="AP36" s="1"/>
      <c r="AQ36" s="19" t="s">
        <v>52</v>
      </c>
      <c r="AR36" s="40">
        <f>QSTBKT!G8</f>
        <v>18</v>
      </c>
      <c r="AS36" s="1">
        <v>5.5</v>
      </c>
      <c r="AT36" s="1">
        <v>12</v>
      </c>
      <c r="AU36" s="29">
        <f t="shared" si="7"/>
        <v>1.1879999999999999</v>
      </c>
    </row>
    <row r="37" spans="1:47" ht="18" customHeight="1">
      <c r="A37" s="180" t="s">
        <v>131</v>
      </c>
      <c r="B37" s="184">
        <f t="shared" si="8"/>
        <v>8</v>
      </c>
      <c r="C37" s="179">
        <f>ChiLenhHCKT!D7</f>
        <v>1.7</v>
      </c>
      <c r="D37" s="185">
        <f t="shared" si="9"/>
        <v>0.53856000000000004</v>
      </c>
      <c r="E37" s="179"/>
      <c r="F37" s="179"/>
      <c r="G37" s="180">
        <f>ChiLenhHCKT!H7</f>
        <v>1</v>
      </c>
      <c r="H37" s="185">
        <f t="shared" si="10"/>
        <v>0.31680000000000003</v>
      </c>
      <c r="I37" s="98">
        <v>0.5</v>
      </c>
      <c r="J37" s="180">
        <f>ChiLenhHCKT!F7-Đạn!I37</f>
        <v>0.19999999999999996</v>
      </c>
      <c r="K37" s="185">
        <f t="shared" si="11"/>
        <v>0.22176000000000001</v>
      </c>
      <c r="L37" s="180">
        <f>TinhHinhVC!E7</f>
        <v>0.5</v>
      </c>
      <c r="M37" s="98">
        <v>0</v>
      </c>
      <c r="N37" s="185">
        <f t="shared" si="12"/>
        <v>0.11880000000000002</v>
      </c>
      <c r="O37" s="180">
        <f>TinhHinhVC!D7</f>
        <v>0.15</v>
      </c>
      <c r="P37" s="98"/>
      <c r="Q37" s="118">
        <f t="shared" si="13"/>
        <v>3.5640000000000005E-2</v>
      </c>
      <c r="R37" s="98">
        <v>1.25</v>
      </c>
      <c r="S37" s="180">
        <f>ChiLenhHCKT!E7-Đạn!R37</f>
        <v>0.19999999999999996</v>
      </c>
      <c r="T37" s="185">
        <f t="shared" si="14"/>
        <v>0.45936000000000005</v>
      </c>
      <c r="U37" s="179">
        <f t="shared" ref="U37:U41" si="25">E37+R37-L37</f>
        <v>0.75</v>
      </c>
      <c r="V37" s="179">
        <f t="shared" ref="V37:V41" si="26">E37+R37-M37</f>
        <v>1.25</v>
      </c>
      <c r="W37" s="185">
        <f t="shared" si="15"/>
        <v>0.2772</v>
      </c>
      <c r="X37" s="179">
        <f t="shared" ref="X37:X41" si="27">E37+S37-O37</f>
        <v>4.9999999999999961E-2</v>
      </c>
      <c r="Y37" s="179">
        <f t="shared" si="21"/>
        <v>0.19999999999999996</v>
      </c>
      <c r="Z37" s="185">
        <f t="shared" si="16"/>
        <v>2.7719999999999988E-2</v>
      </c>
      <c r="AA37" s="179">
        <f t="shared" si="22"/>
        <v>0.25</v>
      </c>
      <c r="AB37" s="179">
        <f t="shared" ref="AB37:AB41" si="28">J37-S37</f>
        <v>0</v>
      </c>
      <c r="AC37" s="185">
        <f t="shared" si="17"/>
        <v>7.9200000000000007E-2</v>
      </c>
      <c r="AD37"/>
      <c r="AE37" s="19" t="s">
        <v>10</v>
      </c>
      <c r="AF37" s="40">
        <f>QSTBKT!F19</f>
        <v>8</v>
      </c>
      <c r="AG37" s="29">
        <v>3.3000000000000002E-2</v>
      </c>
      <c r="AH37" s="28">
        <v>1200</v>
      </c>
      <c r="AI37" s="29">
        <f>AF37*AG37*AH37/1000</f>
        <v>0.31680000000000003</v>
      </c>
      <c r="AJ37" s="16"/>
      <c r="AK37" s="19" t="s">
        <v>10</v>
      </c>
      <c r="AL37" s="40">
        <f>QSTBKT!F6</f>
        <v>6</v>
      </c>
      <c r="AM37" s="29">
        <v>3.3000000000000002E-2</v>
      </c>
      <c r="AN37" s="28">
        <v>1200</v>
      </c>
      <c r="AO37" s="29">
        <f>AL37*AM37*AN37/1000</f>
        <v>0.23760000000000003</v>
      </c>
      <c r="AP37" s="1"/>
      <c r="AQ37" s="19" t="s">
        <v>10</v>
      </c>
      <c r="AR37" s="40">
        <f>QSTBKT!F8</f>
        <v>2</v>
      </c>
      <c r="AS37" s="29">
        <v>3.3000000000000002E-2</v>
      </c>
      <c r="AT37" s="28">
        <v>1200</v>
      </c>
      <c r="AU37" s="29">
        <f>AR37*AS37*AT37/1000</f>
        <v>7.9200000000000007E-2</v>
      </c>
    </row>
    <row r="38" spans="1:47" ht="18.75">
      <c r="A38" s="180" t="s">
        <v>132</v>
      </c>
      <c r="B38" s="184">
        <f t="shared" si="8"/>
        <v>36</v>
      </c>
      <c r="C38" s="180">
        <f>ChiLenhHCKT!D6</f>
        <v>1.7</v>
      </c>
      <c r="D38" s="185">
        <f t="shared" si="9"/>
        <v>0.80783999999999989</v>
      </c>
      <c r="E38" s="179"/>
      <c r="F38" s="179"/>
      <c r="G38" s="180">
        <f>ChiLenhHCKT!H6</f>
        <v>1</v>
      </c>
      <c r="H38" s="185">
        <f t="shared" si="10"/>
        <v>0.47519999999999996</v>
      </c>
      <c r="I38" s="97">
        <v>0.5</v>
      </c>
      <c r="J38" s="179">
        <f>ChiLenhHCKT!F6-Đạn!I38</f>
        <v>0.19999999999999996</v>
      </c>
      <c r="K38" s="185">
        <f t="shared" si="11"/>
        <v>0.33263999999999994</v>
      </c>
      <c r="L38" s="180">
        <f>TinhHinhVC!E6</f>
        <v>0.5</v>
      </c>
      <c r="M38" s="98">
        <v>0.5</v>
      </c>
      <c r="N38" s="185">
        <f t="shared" si="12"/>
        <v>0.23759999999999998</v>
      </c>
      <c r="O38" s="180">
        <f>TinhHinhVC!D6</f>
        <v>0.15</v>
      </c>
      <c r="P38" s="98"/>
      <c r="Q38" s="118">
        <f t="shared" si="13"/>
        <v>5.3460000000000001E-2</v>
      </c>
      <c r="R38" s="98">
        <v>1.25</v>
      </c>
      <c r="S38" s="179">
        <f>ChiLenhHCKT!E6-Đạn!R38</f>
        <v>0.19999999999999996</v>
      </c>
      <c r="T38" s="185">
        <f t="shared" si="14"/>
        <v>0.68903999999999987</v>
      </c>
      <c r="U38" s="179">
        <f t="shared" si="25"/>
        <v>0.75</v>
      </c>
      <c r="V38" s="179">
        <f t="shared" si="26"/>
        <v>0.75</v>
      </c>
      <c r="W38" s="185">
        <f t="shared" si="15"/>
        <v>0.35639999999999994</v>
      </c>
      <c r="X38" s="179">
        <f t="shared" si="27"/>
        <v>4.9999999999999961E-2</v>
      </c>
      <c r="Y38" s="179">
        <f t="shared" si="21"/>
        <v>0.19999999999999996</v>
      </c>
      <c r="Z38" s="185">
        <f t="shared" si="16"/>
        <v>4.1579999999999978E-2</v>
      </c>
      <c r="AA38" s="179">
        <f t="shared" si="22"/>
        <v>0.25</v>
      </c>
      <c r="AB38" s="179">
        <f t="shared" si="28"/>
        <v>0</v>
      </c>
      <c r="AC38" s="185">
        <f t="shared" si="17"/>
        <v>0.11879999999999999</v>
      </c>
      <c r="AD38"/>
      <c r="AE38" s="19" t="s">
        <v>9</v>
      </c>
      <c r="AF38" s="40">
        <f>QSTBKT!E19</f>
        <v>36</v>
      </c>
      <c r="AG38" s="29">
        <v>2.1999999999999999E-2</v>
      </c>
      <c r="AH38" s="28">
        <v>600</v>
      </c>
      <c r="AI38" s="29">
        <f>AF38*AG38*AH38/1000</f>
        <v>0.47519999999999996</v>
      </c>
      <c r="AJ38" s="16"/>
      <c r="AK38" s="19" t="s">
        <v>9</v>
      </c>
      <c r="AL38" s="40">
        <f>QSTBKT!E6</f>
        <v>27</v>
      </c>
      <c r="AM38" s="29">
        <v>2.1999999999999999E-2</v>
      </c>
      <c r="AN38" s="28">
        <v>600</v>
      </c>
      <c r="AO38" s="29">
        <f>AL38*AM38*AN38/1000</f>
        <v>0.35639999999999999</v>
      </c>
      <c r="AP38" s="1"/>
      <c r="AQ38" s="19" t="s">
        <v>9</v>
      </c>
      <c r="AR38" s="40">
        <f>QSTBKT!E8</f>
        <v>9</v>
      </c>
      <c r="AS38" s="29">
        <v>2.1999999999999999E-2</v>
      </c>
      <c r="AT38" s="28">
        <v>600</v>
      </c>
      <c r="AU38" s="29">
        <f>AR38*AS38*AT38/1000</f>
        <v>0.11879999999999999</v>
      </c>
    </row>
    <row r="39" spans="1:47" ht="18" customHeight="1">
      <c r="A39" s="180" t="s">
        <v>133</v>
      </c>
      <c r="B39" s="184">
        <f t="shared" si="8"/>
        <v>486</v>
      </c>
      <c r="C39" s="180">
        <f>ChiLenhHCKT!D6</f>
        <v>1.7</v>
      </c>
      <c r="D39" s="185">
        <f t="shared" si="9"/>
        <v>5.4529199999999998</v>
      </c>
      <c r="E39" s="179"/>
      <c r="F39" s="179"/>
      <c r="G39" s="180">
        <f>ChiLenhHCKT!H6</f>
        <v>1</v>
      </c>
      <c r="H39" s="185">
        <f t="shared" si="10"/>
        <v>3.2075999999999998</v>
      </c>
      <c r="I39" s="97">
        <v>0.5</v>
      </c>
      <c r="J39" s="179">
        <f>ChiLenhHCKT!F6-Đạn!I39</f>
        <v>0.19999999999999996</v>
      </c>
      <c r="K39" s="185">
        <f t="shared" si="11"/>
        <v>2.2453199999999995</v>
      </c>
      <c r="L39" s="180">
        <f>TinhHinhVC!E6</f>
        <v>0.5</v>
      </c>
      <c r="M39" s="98">
        <v>0.5</v>
      </c>
      <c r="N39" s="185">
        <f t="shared" si="12"/>
        <v>1.6037999999999997</v>
      </c>
      <c r="O39" s="180">
        <f>TinhHinhVC!D6</f>
        <v>0.15</v>
      </c>
      <c r="P39" s="98"/>
      <c r="Q39" s="118">
        <f t="shared" si="13"/>
        <v>0.28610999999999998</v>
      </c>
      <c r="R39" s="98">
        <v>1.25</v>
      </c>
      <c r="S39" s="179">
        <f>ChiLenhHCKT!E6-Đạn!R39</f>
        <v>0.19999999999999996</v>
      </c>
      <c r="T39" s="185">
        <f t="shared" si="14"/>
        <v>4.6510199999999999</v>
      </c>
      <c r="U39" s="179">
        <f t="shared" si="25"/>
        <v>0.75</v>
      </c>
      <c r="V39" s="179">
        <f t="shared" si="26"/>
        <v>0.75</v>
      </c>
      <c r="W39" s="185">
        <f t="shared" si="15"/>
        <v>2.4056999999999995</v>
      </c>
      <c r="X39" s="179">
        <f t="shared" si="27"/>
        <v>4.9999999999999961E-2</v>
      </c>
      <c r="Y39" s="179">
        <f t="shared" si="21"/>
        <v>0.19999999999999996</v>
      </c>
      <c r="Z39" s="185">
        <f t="shared" si="16"/>
        <v>0.35540999999999978</v>
      </c>
      <c r="AA39" s="179">
        <f t="shared" si="22"/>
        <v>0.25</v>
      </c>
      <c r="AB39" s="179">
        <f t="shared" si="28"/>
        <v>0</v>
      </c>
      <c r="AC39" s="185">
        <f t="shared" si="17"/>
        <v>0.80189999999999995</v>
      </c>
      <c r="AD39"/>
      <c r="AE39" s="19" t="s">
        <v>8</v>
      </c>
      <c r="AF39" s="40">
        <f>QSTBKT!D19</f>
        <v>486</v>
      </c>
      <c r="AG39" s="29">
        <v>2.1999999999999999E-2</v>
      </c>
      <c r="AH39" s="28">
        <v>300</v>
      </c>
      <c r="AI39" s="29">
        <f>AF39*AG39*AH39/1000</f>
        <v>3.2075999999999998</v>
      </c>
      <c r="AJ39" s="16"/>
      <c r="AK39" s="19" t="s">
        <v>8</v>
      </c>
      <c r="AL39" s="40">
        <f>QSTBKT!D6</f>
        <v>289</v>
      </c>
      <c r="AM39" s="29">
        <v>2.1999999999999999E-2</v>
      </c>
      <c r="AN39" s="28">
        <v>300</v>
      </c>
      <c r="AO39" s="29">
        <f>AL39*AM39*AN39/1000</f>
        <v>1.9073999999999998</v>
      </c>
      <c r="AP39" s="1"/>
      <c r="AQ39" s="19" t="s">
        <v>8</v>
      </c>
      <c r="AR39" s="40">
        <f>QSTBKT!D8</f>
        <v>197</v>
      </c>
      <c r="AS39" s="29">
        <v>2.1999999999999999E-2</v>
      </c>
      <c r="AT39" s="28">
        <v>300</v>
      </c>
      <c r="AU39" s="29">
        <f>AR39*AS39*AT39/1000</f>
        <v>1.3001999999999998</v>
      </c>
    </row>
    <row r="40" spans="1:47" ht="18" customHeight="1">
      <c r="A40" s="180" t="s">
        <v>134</v>
      </c>
      <c r="B40" s="184">
        <f t="shared" si="8"/>
        <v>42</v>
      </c>
      <c r="C40" s="180">
        <f>ChiLenhHCKT!D5</f>
        <v>2.2000000000000002</v>
      </c>
      <c r="D40" s="185">
        <f t="shared" si="9"/>
        <v>3.1046399999999998E-2</v>
      </c>
      <c r="E40" s="179"/>
      <c r="F40" s="179"/>
      <c r="G40" s="180">
        <f>ChiLenhHCKT!H5</f>
        <v>1</v>
      </c>
      <c r="H40" s="185">
        <f t="shared" si="10"/>
        <v>1.4111999999999998E-2</v>
      </c>
      <c r="I40" s="97">
        <v>1</v>
      </c>
      <c r="J40" s="179">
        <f>ChiLenhHCKT!F5-Đạn!I40</f>
        <v>0.19999999999999996</v>
      </c>
      <c r="K40" s="185">
        <f t="shared" si="11"/>
        <v>1.6934399999999995E-2</v>
      </c>
      <c r="L40" s="180">
        <f>TinhHinhVC!E5</f>
        <v>1</v>
      </c>
      <c r="M40" s="98">
        <v>1</v>
      </c>
      <c r="N40" s="185">
        <f t="shared" si="12"/>
        <v>1.4112E-2</v>
      </c>
      <c r="O40" s="180">
        <f>TinhHinhVC!D5</f>
        <v>0.15</v>
      </c>
      <c r="P40" s="98"/>
      <c r="Q40" s="118">
        <f t="shared" si="13"/>
        <v>1.1087999999999998E-3</v>
      </c>
      <c r="R40" s="98">
        <v>1.25</v>
      </c>
      <c r="S40" s="179">
        <f>ChiLenhHCKT!E5-Đạn!R40</f>
        <v>0.19999999999999996</v>
      </c>
      <c r="T40" s="185">
        <f t="shared" si="14"/>
        <v>2.0462399999999995E-2</v>
      </c>
      <c r="U40" s="179">
        <f t="shared" si="25"/>
        <v>0.25</v>
      </c>
      <c r="V40" s="179">
        <f t="shared" si="26"/>
        <v>0.25</v>
      </c>
      <c r="W40" s="185">
        <f t="shared" si="15"/>
        <v>3.5279999999999999E-3</v>
      </c>
      <c r="X40" s="179">
        <f t="shared" si="27"/>
        <v>4.9999999999999961E-2</v>
      </c>
      <c r="Y40" s="179">
        <f t="shared" si="21"/>
        <v>0.19999999999999996</v>
      </c>
      <c r="Z40" s="185">
        <f t="shared" si="16"/>
        <v>1.7135999999999994E-3</v>
      </c>
      <c r="AA40" s="179">
        <f t="shared" si="22"/>
        <v>0.75</v>
      </c>
      <c r="AB40" s="179">
        <f t="shared" si="28"/>
        <v>0</v>
      </c>
      <c r="AC40" s="185">
        <f t="shared" si="17"/>
        <v>1.0583999999999998E-2</v>
      </c>
      <c r="AD40"/>
      <c r="AE40" s="19" t="s">
        <v>7</v>
      </c>
      <c r="AF40" s="40">
        <f>QSTBKT!C19</f>
        <v>42</v>
      </c>
      <c r="AG40" s="29">
        <v>1.4E-2</v>
      </c>
      <c r="AH40" s="28">
        <v>24</v>
      </c>
      <c r="AI40" s="29">
        <f>AF40*AG40*AH40/1000</f>
        <v>1.4111999999999998E-2</v>
      </c>
      <c r="AJ40" s="16"/>
      <c r="AK40" s="19" t="s">
        <v>7</v>
      </c>
      <c r="AL40" s="40">
        <f>QSTBKT!C7</f>
        <v>22</v>
      </c>
      <c r="AM40" s="29">
        <v>1.4E-2</v>
      </c>
      <c r="AN40" s="28">
        <v>24</v>
      </c>
      <c r="AO40" s="29">
        <f>AL40*AM40*AN40/1000</f>
        <v>7.3919999999999993E-3</v>
      </c>
      <c r="AP40" s="1"/>
      <c r="AQ40" s="19" t="s">
        <v>7</v>
      </c>
      <c r="AR40" s="40">
        <f>QSTBKT!C8</f>
        <v>20</v>
      </c>
      <c r="AS40" s="29">
        <v>1.4E-2</v>
      </c>
      <c r="AT40" s="28">
        <v>24</v>
      </c>
      <c r="AU40" s="29">
        <f>AR40*AS40*AT40/1000</f>
        <v>6.7200000000000003E-3</v>
      </c>
    </row>
    <row r="41" spans="1:47" ht="18" customHeight="1">
      <c r="A41" s="181" t="s">
        <v>3</v>
      </c>
      <c r="B41" s="184">
        <f t="shared" si="8"/>
        <v>2403</v>
      </c>
      <c r="C41" s="180">
        <f>ChiLenhHCKT!D14</f>
        <v>4103</v>
      </c>
      <c r="D41" s="183">
        <f>C41*AI41</f>
        <v>3.0772500000000003</v>
      </c>
      <c r="E41" s="179"/>
      <c r="F41" s="179"/>
      <c r="G41" s="180">
        <f>ChiLenhHCKT!H14</f>
        <v>1500</v>
      </c>
      <c r="H41" s="183">
        <f t="shared" si="10"/>
        <v>1.125</v>
      </c>
      <c r="I41" s="97">
        <v>2403</v>
      </c>
      <c r="J41" s="179">
        <f>ChiLenhHCKT!F14-Đạn!I41</f>
        <v>200</v>
      </c>
      <c r="K41" s="183">
        <f t="shared" si="11"/>
        <v>1.95225</v>
      </c>
      <c r="L41" s="180">
        <f>TinhHinhVC!E14</f>
        <v>1444</v>
      </c>
      <c r="M41" s="98">
        <v>959</v>
      </c>
      <c r="N41" s="183">
        <f t="shared" si="12"/>
        <v>1.8022499999999999</v>
      </c>
      <c r="O41" s="180">
        <f>TinhHinhVC!D14</f>
        <v>100</v>
      </c>
      <c r="P41" s="98"/>
      <c r="Q41" s="117">
        <f t="shared" si="13"/>
        <v>7.4999999999999997E-2</v>
      </c>
      <c r="R41" s="98">
        <v>2403</v>
      </c>
      <c r="S41" s="179">
        <f>ChiLenhHCKT!E14-Đạn!R41</f>
        <v>200</v>
      </c>
      <c r="T41" s="183">
        <f t="shared" si="14"/>
        <v>1.95225</v>
      </c>
      <c r="U41" s="179">
        <f t="shared" si="25"/>
        <v>959</v>
      </c>
      <c r="V41" s="179">
        <f t="shared" si="26"/>
        <v>1444</v>
      </c>
      <c r="W41" s="183">
        <f t="shared" si="15"/>
        <v>1.8022499999999999</v>
      </c>
      <c r="X41" s="179">
        <f t="shared" si="27"/>
        <v>100</v>
      </c>
      <c r="Y41" s="179">
        <f t="shared" si="21"/>
        <v>200</v>
      </c>
      <c r="Z41" s="183">
        <f t="shared" si="16"/>
        <v>0.22499999999999998</v>
      </c>
      <c r="AA41" s="179">
        <f t="shared" si="22"/>
        <v>1500</v>
      </c>
      <c r="AB41" s="179">
        <f t="shared" si="28"/>
        <v>0</v>
      </c>
      <c r="AC41" s="183">
        <f t="shared" si="17"/>
        <v>1.125</v>
      </c>
      <c r="AD41"/>
      <c r="AE41" s="32" t="s">
        <v>3</v>
      </c>
      <c r="AF41" s="41">
        <f>QSTBKT!H19</f>
        <v>2403</v>
      </c>
      <c r="AG41" s="22">
        <v>0.75</v>
      </c>
      <c r="AH41" s="26"/>
      <c r="AI41" s="25">
        <f>0.75/1000</f>
        <v>7.5000000000000002E-4</v>
      </c>
      <c r="AJ41" s="16"/>
      <c r="AK41" s="32" t="s">
        <v>3</v>
      </c>
      <c r="AL41" s="41">
        <f>QSTBKT!H6</f>
        <v>1444</v>
      </c>
      <c r="AM41" s="22">
        <v>0.75</v>
      </c>
      <c r="AN41" s="26"/>
      <c r="AO41" s="25">
        <f>0.75/1000</f>
        <v>7.5000000000000002E-4</v>
      </c>
      <c r="AQ41" s="32" t="s">
        <v>3</v>
      </c>
      <c r="AR41" s="41">
        <f>QSTBKT!H8</f>
        <v>959</v>
      </c>
      <c r="AS41" s="22">
        <v>0.75</v>
      </c>
      <c r="AT41" s="26"/>
      <c r="AU41" s="25">
        <f>0.75/1000</f>
        <v>7.5000000000000002E-4</v>
      </c>
    </row>
    <row r="42" spans="1:47" ht="18.600000000000001" customHeight="1">
      <c r="A42" s="130"/>
      <c r="B42" s="132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/>
      <c r="AE42" s="362" t="s">
        <v>72</v>
      </c>
      <c r="AF42" s="362"/>
      <c r="AG42" s="362"/>
      <c r="AH42" s="362"/>
      <c r="AI42" s="362"/>
      <c r="AJ42" s="16"/>
    </row>
    <row r="43" spans="1:47" ht="18.600000000000001" customHeight="1">
      <c r="A43" s="136" t="s">
        <v>34</v>
      </c>
      <c r="B43" s="137"/>
      <c r="C43" s="139"/>
      <c r="D43" s="142">
        <f>D44+D45+D50+D56</f>
        <v>13.5504204</v>
      </c>
      <c r="E43" s="136"/>
      <c r="F43" s="136"/>
      <c r="G43" s="136"/>
      <c r="H43" s="142">
        <f>H44+H45+H50+H56</f>
        <v>9.3160320000000016</v>
      </c>
      <c r="I43" s="136"/>
      <c r="J43" s="136"/>
      <c r="K43" s="142">
        <f>K44+K45+K50+K56</f>
        <v>2.6992320000000003</v>
      </c>
      <c r="L43" s="136"/>
      <c r="M43" s="136"/>
      <c r="N43" s="142">
        <f>N44+N45+N50+N56</f>
        <v>2.6992320000000003</v>
      </c>
      <c r="O43" s="136"/>
      <c r="P43" s="136"/>
      <c r="Q43" s="136"/>
      <c r="R43" s="136"/>
      <c r="S43" s="136"/>
      <c r="T43" s="142">
        <f>T44+T45+T50+T56</f>
        <v>9.3102899999999984</v>
      </c>
      <c r="U43" s="136"/>
      <c r="V43" s="136"/>
      <c r="W43" s="142">
        <f>W44+W45+W50+W56</f>
        <v>6.6110579999999999</v>
      </c>
      <c r="X43" s="136"/>
      <c r="Y43" s="136"/>
      <c r="Z43" s="136"/>
      <c r="AA43" s="136"/>
      <c r="AB43" s="136"/>
      <c r="AC43" s="142">
        <f>AC44+AC45+AC50+AC56</f>
        <v>2.704974</v>
      </c>
      <c r="AD43"/>
      <c r="AE43" s="20"/>
      <c r="AF43" s="19" t="s">
        <v>44</v>
      </c>
      <c r="AG43" s="24" t="s">
        <v>45</v>
      </c>
      <c r="AH43" s="31" t="s">
        <v>46</v>
      </c>
      <c r="AI43" s="24" t="s">
        <v>47</v>
      </c>
      <c r="AJ43" s="16"/>
    </row>
    <row r="44" spans="1:47" ht="18.75">
      <c r="A44" s="136" t="s">
        <v>125</v>
      </c>
      <c r="B44" s="137">
        <f t="shared" ref="B44:B89" si="29">AF44</f>
        <v>3</v>
      </c>
      <c r="C44" s="143">
        <f>C29</f>
        <v>2.2999999999999998</v>
      </c>
      <c r="D44" s="170">
        <f>C44*AI44</f>
        <v>1.4076</v>
      </c>
      <c r="E44" s="143"/>
      <c r="F44" s="143"/>
      <c r="G44" s="143">
        <f>G29</f>
        <v>1.5</v>
      </c>
      <c r="H44" s="143">
        <f>G44*AI44</f>
        <v>0.91799999999999993</v>
      </c>
      <c r="I44" s="143">
        <f>I29</f>
        <v>0.3</v>
      </c>
      <c r="J44" s="171" t="s">
        <v>236</v>
      </c>
      <c r="K44" s="143">
        <f>I44*AI44</f>
        <v>0.18359999999999999</v>
      </c>
      <c r="L44" s="143">
        <f>L29</f>
        <v>0.3</v>
      </c>
      <c r="M44" s="171" t="s">
        <v>236</v>
      </c>
      <c r="N44" s="143">
        <f>L44*AI44</f>
        <v>0.18359999999999999</v>
      </c>
      <c r="O44" s="171" t="s">
        <v>236</v>
      </c>
      <c r="P44" s="171" t="s">
        <v>236</v>
      </c>
      <c r="Q44" s="171" t="s">
        <v>236</v>
      </c>
      <c r="R44" s="143">
        <f>R29</f>
        <v>1.25</v>
      </c>
      <c r="S44" s="171" t="s">
        <v>236</v>
      </c>
      <c r="T44" s="143">
        <f>R44*AI44</f>
        <v>0.76500000000000001</v>
      </c>
      <c r="U44" s="143">
        <f>U29</f>
        <v>0.95</v>
      </c>
      <c r="V44" s="171" t="s">
        <v>236</v>
      </c>
      <c r="W44" s="143">
        <f>U44*AI44</f>
        <v>0.58139999999999992</v>
      </c>
      <c r="X44" s="171" t="s">
        <v>236</v>
      </c>
      <c r="Y44" s="171" t="s">
        <v>236</v>
      </c>
      <c r="Z44" s="171" t="s">
        <v>236</v>
      </c>
      <c r="AA44" s="143">
        <f>AA29</f>
        <v>0.55000000000000004</v>
      </c>
      <c r="AB44" s="171" t="s">
        <v>236</v>
      </c>
      <c r="AC44" s="143">
        <f>AA44*AI44</f>
        <v>0.33660000000000001</v>
      </c>
      <c r="AD44"/>
      <c r="AE44" s="19" t="s">
        <v>60</v>
      </c>
      <c r="AF44" s="28">
        <f>QSTBKT!M36</f>
        <v>3</v>
      </c>
      <c r="AG44" s="29">
        <v>0.17</v>
      </c>
      <c r="AH44" s="28">
        <v>1200</v>
      </c>
      <c r="AI44" s="29">
        <f>AF44*AG44*AH44/1000</f>
        <v>0.61199999999999999</v>
      </c>
      <c r="AJ44" s="16"/>
    </row>
    <row r="45" spans="1:47" ht="18.75">
      <c r="A45" s="136" t="s">
        <v>135</v>
      </c>
      <c r="B45" s="137">
        <f t="shared" si="29"/>
        <v>0</v>
      </c>
      <c r="C45" s="143"/>
      <c r="D45" s="142">
        <f>D46+D47+D48+D49</f>
        <v>5.2627500000000005</v>
      </c>
      <c r="E45" s="138"/>
      <c r="F45" s="138"/>
      <c r="G45" s="138"/>
      <c r="H45" s="142">
        <f>H46+H47+H48+H49</f>
        <v>4.2</v>
      </c>
      <c r="I45" s="138"/>
      <c r="J45" s="144" t="s">
        <v>236</v>
      </c>
      <c r="K45" s="142">
        <f>K46+K47+K48+K49</f>
        <v>0.5142000000000001</v>
      </c>
      <c r="L45" s="138"/>
      <c r="M45" s="144" t="s">
        <v>236</v>
      </c>
      <c r="N45" s="142">
        <f>N46+N47+N48+N49</f>
        <v>0.5142000000000001</v>
      </c>
      <c r="O45" s="144" t="s">
        <v>236</v>
      </c>
      <c r="P45" s="144" t="s">
        <v>236</v>
      </c>
      <c r="Q45" s="144" t="s">
        <v>236</v>
      </c>
      <c r="R45" s="138"/>
      <c r="S45" s="144" t="s">
        <v>236</v>
      </c>
      <c r="T45" s="142">
        <f>T46+T47+T48+T49</f>
        <v>3.657</v>
      </c>
      <c r="U45" s="138"/>
      <c r="V45" s="144" t="s">
        <v>236</v>
      </c>
      <c r="W45" s="142">
        <f>W46+W47+W48+W49</f>
        <v>3.1428000000000003</v>
      </c>
      <c r="X45" s="144" t="s">
        <v>236</v>
      </c>
      <c r="Y45" s="144" t="s">
        <v>236</v>
      </c>
      <c r="Z45" s="144" t="s">
        <v>236</v>
      </c>
      <c r="AA45" s="138"/>
      <c r="AB45" s="144" t="s">
        <v>236</v>
      </c>
      <c r="AC45" s="142">
        <f>AC46+AC47+AC48+AC49</f>
        <v>1.0572000000000001</v>
      </c>
      <c r="AD45"/>
      <c r="AE45" s="358" t="s">
        <v>68</v>
      </c>
      <c r="AF45" s="359"/>
      <c r="AG45" s="359"/>
      <c r="AH45" s="360"/>
      <c r="AI45" s="30"/>
      <c r="AJ45" s="16"/>
    </row>
    <row r="46" spans="1:47" ht="18.75">
      <c r="A46" s="139" t="s">
        <v>126</v>
      </c>
      <c r="B46" s="137">
        <f t="shared" si="29"/>
        <v>0</v>
      </c>
      <c r="C46" s="143">
        <f t="shared" ref="C46:C55" si="30">C31</f>
        <v>1.35</v>
      </c>
      <c r="D46" s="170">
        <f t="shared" ref="D46:D56" si="31">C46*AI46</f>
        <v>0</v>
      </c>
      <c r="E46" s="143"/>
      <c r="F46" s="143"/>
      <c r="G46" s="143">
        <f t="shared" ref="G46:G55" si="32">G31</f>
        <v>1.25</v>
      </c>
      <c r="H46" s="143">
        <f t="shared" ref="H46:H56" si="33">G46*AI46</f>
        <v>0</v>
      </c>
      <c r="I46" s="143">
        <f t="shared" ref="I46:I55" si="34">I31</f>
        <v>0.1</v>
      </c>
      <c r="J46" s="171" t="s">
        <v>236</v>
      </c>
      <c r="K46" s="143">
        <f t="shared" ref="K46:K56" si="35">I46*AI46</f>
        <v>0</v>
      </c>
      <c r="L46" s="143">
        <f t="shared" ref="L46:L55" si="36">L31</f>
        <v>0</v>
      </c>
      <c r="M46" s="171" t="s">
        <v>236</v>
      </c>
      <c r="N46" s="143">
        <f t="shared" ref="N46:N56" si="37">L46*AI46</f>
        <v>0</v>
      </c>
      <c r="O46" s="171" t="s">
        <v>236</v>
      </c>
      <c r="P46" s="171" t="s">
        <v>236</v>
      </c>
      <c r="Q46" s="171" t="s">
        <v>236</v>
      </c>
      <c r="R46" s="143">
        <f t="shared" ref="R46:R55" si="38">R31</f>
        <v>1</v>
      </c>
      <c r="S46" s="171" t="s">
        <v>236</v>
      </c>
      <c r="T46" s="143">
        <f t="shared" ref="T46:T56" si="39">R46*AI46</f>
        <v>0</v>
      </c>
      <c r="U46" s="143">
        <f t="shared" ref="U46:U55" si="40">U31</f>
        <v>1</v>
      </c>
      <c r="V46" s="171" t="s">
        <v>236</v>
      </c>
      <c r="W46" s="143">
        <f t="shared" ref="W46:W56" si="41">U46*AI46</f>
        <v>0</v>
      </c>
      <c r="X46" s="171" t="s">
        <v>236</v>
      </c>
      <c r="Y46" s="171" t="s">
        <v>236</v>
      </c>
      <c r="Z46" s="171" t="s">
        <v>236</v>
      </c>
      <c r="AA46" s="143">
        <f t="shared" ref="AA46:AA55" si="42">AA31</f>
        <v>0.35000000000000009</v>
      </c>
      <c r="AB46" s="171" t="s">
        <v>236</v>
      </c>
      <c r="AC46" s="143">
        <f t="shared" ref="AC46:AC56" si="43">AA46*AI46</f>
        <v>0</v>
      </c>
      <c r="AD46"/>
      <c r="AE46" s="19" t="s">
        <v>58</v>
      </c>
      <c r="AF46" s="28">
        <f>QSTBKT!K36</f>
        <v>0</v>
      </c>
      <c r="AG46" s="29">
        <v>23</v>
      </c>
      <c r="AH46" s="28">
        <v>80</v>
      </c>
      <c r="AI46" s="29">
        <f>AH46*AG46*AF46/1000</f>
        <v>0</v>
      </c>
    </row>
    <row r="47" spans="1:47" ht="18.75">
      <c r="A47" s="140" t="s">
        <v>127</v>
      </c>
      <c r="B47" s="137">
        <f t="shared" si="29"/>
        <v>3</v>
      </c>
      <c r="C47" s="143">
        <f t="shared" si="30"/>
        <v>1.5</v>
      </c>
      <c r="D47" s="170">
        <f t="shared" si="31"/>
        <v>2.25</v>
      </c>
      <c r="E47" s="143"/>
      <c r="F47" s="143"/>
      <c r="G47" s="143">
        <f t="shared" si="32"/>
        <v>1.25</v>
      </c>
      <c r="H47" s="143">
        <f t="shared" si="33"/>
        <v>1.875</v>
      </c>
      <c r="I47" s="143">
        <f t="shared" si="34"/>
        <v>0.1</v>
      </c>
      <c r="J47" s="171" t="s">
        <v>236</v>
      </c>
      <c r="K47" s="143">
        <f t="shared" si="35"/>
        <v>0.15000000000000002</v>
      </c>
      <c r="L47" s="143">
        <f t="shared" si="36"/>
        <v>0.1</v>
      </c>
      <c r="M47" s="171" t="s">
        <v>236</v>
      </c>
      <c r="N47" s="143">
        <f t="shared" si="37"/>
        <v>0.15000000000000002</v>
      </c>
      <c r="O47" s="171" t="s">
        <v>236</v>
      </c>
      <c r="P47" s="171" t="s">
        <v>236</v>
      </c>
      <c r="Q47" s="171" t="s">
        <v>236</v>
      </c>
      <c r="R47" s="143">
        <f t="shared" si="38"/>
        <v>1</v>
      </c>
      <c r="S47" s="171" t="s">
        <v>236</v>
      </c>
      <c r="T47" s="143">
        <f t="shared" si="39"/>
        <v>1.5</v>
      </c>
      <c r="U47" s="143">
        <f t="shared" si="40"/>
        <v>0.9</v>
      </c>
      <c r="V47" s="171" t="s">
        <v>236</v>
      </c>
      <c r="W47" s="143">
        <f t="shared" si="41"/>
        <v>1.35</v>
      </c>
      <c r="X47" s="171" t="s">
        <v>236</v>
      </c>
      <c r="Y47" s="171" t="s">
        <v>236</v>
      </c>
      <c r="Z47" s="171" t="s">
        <v>236</v>
      </c>
      <c r="AA47" s="143">
        <f t="shared" si="42"/>
        <v>0.35000000000000009</v>
      </c>
      <c r="AB47" s="171" t="s">
        <v>236</v>
      </c>
      <c r="AC47" s="143">
        <f t="shared" si="43"/>
        <v>0.52500000000000013</v>
      </c>
      <c r="AD47"/>
      <c r="AE47" s="19" t="s">
        <v>57</v>
      </c>
      <c r="AF47" s="28">
        <f>QSTBKT!J36</f>
        <v>3</v>
      </c>
      <c r="AG47" s="29">
        <v>5</v>
      </c>
      <c r="AH47" s="28">
        <v>100</v>
      </c>
      <c r="AI47" s="29">
        <f>AH47*AG47*AF47/1000</f>
        <v>1.5</v>
      </c>
      <c r="AJ47" s="16"/>
    </row>
    <row r="48" spans="1:47" ht="18.75">
      <c r="A48" s="140" t="s">
        <v>128</v>
      </c>
      <c r="B48" s="137">
        <f t="shared" si="29"/>
        <v>4</v>
      </c>
      <c r="C48" s="143">
        <f t="shared" si="30"/>
        <v>1.5</v>
      </c>
      <c r="D48" s="170">
        <f t="shared" si="31"/>
        <v>1.008</v>
      </c>
      <c r="E48" s="143"/>
      <c r="F48" s="143"/>
      <c r="G48" s="143">
        <f t="shared" si="32"/>
        <v>1.25</v>
      </c>
      <c r="H48" s="143">
        <f t="shared" si="33"/>
        <v>0.84000000000000008</v>
      </c>
      <c r="I48" s="143">
        <f t="shared" si="34"/>
        <v>0.1</v>
      </c>
      <c r="J48" s="171" t="s">
        <v>236</v>
      </c>
      <c r="K48" s="143">
        <f t="shared" si="35"/>
        <v>6.720000000000001E-2</v>
      </c>
      <c r="L48" s="143">
        <f t="shared" si="36"/>
        <v>0.1</v>
      </c>
      <c r="M48" s="171" t="s">
        <v>236</v>
      </c>
      <c r="N48" s="143">
        <f t="shared" si="37"/>
        <v>6.720000000000001E-2</v>
      </c>
      <c r="O48" s="171" t="s">
        <v>236</v>
      </c>
      <c r="P48" s="171" t="s">
        <v>236</v>
      </c>
      <c r="Q48" s="171" t="s">
        <v>236</v>
      </c>
      <c r="R48" s="143">
        <f t="shared" si="38"/>
        <v>1</v>
      </c>
      <c r="S48" s="171" t="s">
        <v>236</v>
      </c>
      <c r="T48" s="143">
        <f t="shared" si="39"/>
        <v>0.67200000000000004</v>
      </c>
      <c r="U48" s="143">
        <f t="shared" si="40"/>
        <v>0.9</v>
      </c>
      <c r="V48" s="171" t="s">
        <v>236</v>
      </c>
      <c r="W48" s="143">
        <f t="shared" si="41"/>
        <v>0.6048</v>
      </c>
      <c r="X48" s="171" t="s">
        <v>236</v>
      </c>
      <c r="Y48" s="171" t="s">
        <v>236</v>
      </c>
      <c r="Z48" s="171" t="s">
        <v>236</v>
      </c>
      <c r="AA48" s="143">
        <f t="shared" si="42"/>
        <v>0.35000000000000009</v>
      </c>
      <c r="AB48" s="171" t="s">
        <v>236</v>
      </c>
      <c r="AC48" s="143">
        <f t="shared" si="43"/>
        <v>0.23520000000000008</v>
      </c>
      <c r="AD48"/>
      <c r="AE48" s="19" t="s">
        <v>56</v>
      </c>
      <c r="AF48" s="28">
        <f>QSTBKT!I36</f>
        <v>4</v>
      </c>
      <c r="AG48" s="29">
        <v>2.1</v>
      </c>
      <c r="AH48" s="28">
        <v>80</v>
      </c>
      <c r="AI48" s="29">
        <f>AH48*AG48*AF48/1000</f>
        <v>0.67200000000000004</v>
      </c>
      <c r="AJ48" s="16"/>
    </row>
    <row r="49" spans="1:36" ht="18.75">
      <c r="A49" s="140" t="s">
        <v>129</v>
      </c>
      <c r="B49" s="137">
        <f t="shared" si="29"/>
        <v>3</v>
      </c>
      <c r="C49" s="143">
        <f t="shared" si="30"/>
        <v>1.35</v>
      </c>
      <c r="D49" s="170">
        <f t="shared" si="31"/>
        <v>2.0047500000000005</v>
      </c>
      <c r="E49" s="143"/>
      <c r="F49" s="143"/>
      <c r="G49" s="143">
        <f t="shared" si="32"/>
        <v>1</v>
      </c>
      <c r="H49" s="143">
        <f t="shared" si="33"/>
        <v>1.4850000000000001</v>
      </c>
      <c r="I49" s="143">
        <f t="shared" si="34"/>
        <v>0.2</v>
      </c>
      <c r="J49" s="171" t="s">
        <v>236</v>
      </c>
      <c r="K49" s="143">
        <f t="shared" si="35"/>
        <v>0.29700000000000004</v>
      </c>
      <c r="L49" s="143">
        <f t="shared" si="36"/>
        <v>0.2</v>
      </c>
      <c r="M49" s="171" t="s">
        <v>236</v>
      </c>
      <c r="N49" s="143">
        <f t="shared" si="37"/>
        <v>0.29700000000000004</v>
      </c>
      <c r="O49" s="171" t="s">
        <v>236</v>
      </c>
      <c r="P49" s="171" t="s">
        <v>236</v>
      </c>
      <c r="Q49" s="171" t="s">
        <v>236</v>
      </c>
      <c r="R49" s="143">
        <f t="shared" si="38"/>
        <v>1</v>
      </c>
      <c r="S49" s="171" t="s">
        <v>236</v>
      </c>
      <c r="T49" s="143">
        <f t="shared" si="39"/>
        <v>1.4850000000000001</v>
      </c>
      <c r="U49" s="143">
        <f t="shared" si="40"/>
        <v>0.8</v>
      </c>
      <c r="V49" s="171" t="s">
        <v>236</v>
      </c>
      <c r="W49" s="143">
        <f t="shared" si="41"/>
        <v>1.1880000000000002</v>
      </c>
      <c r="X49" s="171" t="s">
        <v>236</v>
      </c>
      <c r="Y49" s="171" t="s">
        <v>236</v>
      </c>
      <c r="Z49" s="171" t="s">
        <v>236</v>
      </c>
      <c r="AA49" s="143">
        <f t="shared" si="42"/>
        <v>0.19999999999999996</v>
      </c>
      <c r="AB49" s="171" t="s">
        <v>236</v>
      </c>
      <c r="AC49" s="143">
        <f t="shared" si="43"/>
        <v>0.29699999999999993</v>
      </c>
      <c r="AD49"/>
      <c r="AE49" s="19" t="s">
        <v>12</v>
      </c>
      <c r="AF49" s="28">
        <f>QSTBKT!L36</f>
        <v>3</v>
      </c>
      <c r="AG49" s="29">
        <v>16.5</v>
      </c>
      <c r="AH49" s="28">
        <v>30</v>
      </c>
      <c r="AI49" s="29">
        <f>AH49*AG49*AF49/1000</f>
        <v>1.4850000000000001</v>
      </c>
      <c r="AJ49" s="16"/>
    </row>
    <row r="50" spans="1:36" ht="18.75">
      <c r="A50" s="141" t="s">
        <v>136</v>
      </c>
      <c r="B50" s="137">
        <f t="shared" si="29"/>
        <v>0</v>
      </c>
      <c r="C50" s="143"/>
      <c r="D50" s="142">
        <f>D51+D52+D53+D54+D55</f>
        <v>5.9455704000000003</v>
      </c>
      <c r="E50" s="138"/>
      <c r="F50" s="138"/>
      <c r="G50" s="138"/>
      <c r="H50" s="142">
        <f>H51+H52+H53+H54+H55</f>
        <v>3.8980320000000002</v>
      </c>
      <c r="I50" s="138"/>
      <c r="J50" s="144" t="s">
        <v>236</v>
      </c>
      <c r="K50" s="142">
        <f>K51+K52+K53+K54+K55</f>
        <v>1.366932</v>
      </c>
      <c r="L50" s="138"/>
      <c r="M50" s="144" t="s">
        <v>236</v>
      </c>
      <c r="N50" s="142">
        <f>N51+N52+N53+N54+N55</f>
        <v>1.366932</v>
      </c>
      <c r="O50" s="144" t="s">
        <v>236</v>
      </c>
      <c r="P50" s="144" t="s">
        <v>236</v>
      </c>
      <c r="Q50" s="144" t="s">
        <v>236</v>
      </c>
      <c r="R50" s="138"/>
      <c r="S50" s="144" t="s">
        <v>236</v>
      </c>
      <c r="T50" s="142">
        <f>T51+T52+T53+T54+T55</f>
        <v>4.2537900000000004</v>
      </c>
      <c r="U50" s="138"/>
      <c r="V50" s="144" t="s">
        <v>236</v>
      </c>
      <c r="W50" s="142">
        <f>W51+W52+W53+W54+W55</f>
        <v>2.8868579999999997</v>
      </c>
      <c r="X50" s="144" t="s">
        <v>236</v>
      </c>
      <c r="Y50" s="144" t="s">
        <v>236</v>
      </c>
      <c r="Z50" s="144" t="s">
        <v>236</v>
      </c>
      <c r="AA50" s="138"/>
      <c r="AB50" s="144" t="s">
        <v>236</v>
      </c>
      <c r="AC50" s="142">
        <f>AC51+AC52+AC53+AC54+AC55</f>
        <v>1.011174</v>
      </c>
      <c r="AD50"/>
      <c r="AE50" s="361" t="s">
        <v>54</v>
      </c>
      <c r="AF50" s="361"/>
      <c r="AG50" s="361"/>
      <c r="AH50" s="361"/>
      <c r="AI50" s="30"/>
      <c r="AJ50" s="16"/>
    </row>
    <row r="51" spans="1:36" ht="18.75">
      <c r="A51" s="140" t="s">
        <v>130</v>
      </c>
      <c r="B51" s="137">
        <f t="shared" si="29"/>
        <v>30</v>
      </c>
      <c r="C51" s="143">
        <f t="shared" si="30"/>
        <v>1.78</v>
      </c>
      <c r="D51" s="170">
        <f t="shared" si="31"/>
        <v>3.5244</v>
      </c>
      <c r="E51" s="143"/>
      <c r="F51" s="143"/>
      <c r="G51" s="143">
        <f t="shared" si="32"/>
        <v>1.25</v>
      </c>
      <c r="H51" s="143">
        <f t="shared" si="33"/>
        <v>2.4750000000000001</v>
      </c>
      <c r="I51" s="143">
        <f t="shared" si="34"/>
        <v>0.33</v>
      </c>
      <c r="J51" s="171" t="s">
        <v>236</v>
      </c>
      <c r="K51" s="143">
        <f t="shared" si="35"/>
        <v>0.65339999999999998</v>
      </c>
      <c r="L51" s="143">
        <f t="shared" si="36"/>
        <v>0.33</v>
      </c>
      <c r="M51" s="171" t="s">
        <v>236</v>
      </c>
      <c r="N51" s="143">
        <f t="shared" si="37"/>
        <v>0.65339999999999998</v>
      </c>
      <c r="O51" s="171" t="s">
        <v>236</v>
      </c>
      <c r="P51" s="171" t="s">
        <v>236</v>
      </c>
      <c r="Q51" s="171" t="s">
        <v>236</v>
      </c>
      <c r="R51" s="143">
        <f t="shared" si="38"/>
        <v>1.25</v>
      </c>
      <c r="S51" s="171" t="s">
        <v>236</v>
      </c>
      <c r="T51" s="143">
        <f t="shared" si="39"/>
        <v>2.4750000000000001</v>
      </c>
      <c r="U51" s="143">
        <f t="shared" si="40"/>
        <v>0.91999999999999993</v>
      </c>
      <c r="V51" s="171" t="s">
        <v>236</v>
      </c>
      <c r="W51" s="143">
        <f t="shared" si="41"/>
        <v>1.8215999999999999</v>
      </c>
      <c r="X51" s="171" t="s">
        <v>236</v>
      </c>
      <c r="Y51" s="171" t="s">
        <v>236</v>
      </c>
      <c r="Z51" s="171" t="s">
        <v>236</v>
      </c>
      <c r="AA51" s="143">
        <f t="shared" si="42"/>
        <v>0.33000000000000007</v>
      </c>
      <c r="AB51" s="171" t="s">
        <v>236</v>
      </c>
      <c r="AC51" s="143">
        <f t="shared" si="43"/>
        <v>0.65340000000000009</v>
      </c>
      <c r="AD51"/>
      <c r="AE51" s="19" t="s">
        <v>52</v>
      </c>
      <c r="AF51" s="28">
        <f>QSTBKT!G36</f>
        <v>30</v>
      </c>
      <c r="AG51" s="29">
        <v>5.5</v>
      </c>
      <c r="AH51" s="28">
        <v>12</v>
      </c>
      <c r="AI51" s="29">
        <f>AF51*AG51*AH51/1000</f>
        <v>1.98</v>
      </c>
      <c r="AJ51" s="16"/>
    </row>
    <row r="52" spans="1:36" ht="18.75">
      <c r="A52" s="140" t="s">
        <v>131</v>
      </c>
      <c r="B52" s="137">
        <f t="shared" si="29"/>
        <v>4</v>
      </c>
      <c r="C52" s="143">
        <f t="shared" si="30"/>
        <v>1.7</v>
      </c>
      <c r="D52" s="170">
        <f t="shared" si="31"/>
        <v>0.26928000000000002</v>
      </c>
      <c r="E52" s="143"/>
      <c r="F52" s="143"/>
      <c r="G52" s="143">
        <f t="shared" si="32"/>
        <v>1</v>
      </c>
      <c r="H52" s="143">
        <f t="shared" si="33"/>
        <v>0.15840000000000001</v>
      </c>
      <c r="I52" s="143">
        <f t="shared" si="34"/>
        <v>0.5</v>
      </c>
      <c r="J52" s="171" t="s">
        <v>236</v>
      </c>
      <c r="K52" s="143">
        <f t="shared" si="35"/>
        <v>7.9200000000000007E-2</v>
      </c>
      <c r="L52" s="143">
        <f t="shared" si="36"/>
        <v>0.5</v>
      </c>
      <c r="M52" s="171" t="s">
        <v>236</v>
      </c>
      <c r="N52" s="143">
        <f t="shared" si="37"/>
        <v>7.9200000000000007E-2</v>
      </c>
      <c r="O52" s="171" t="s">
        <v>236</v>
      </c>
      <c r="P52" s="171" t="s">
        <v>236</v>
      </c>
      <c r="Q52" s="171" t="s">
        <v>236</v>
      </c>
      <c r="R52" s="143">
        <f t="shared" si="38"/>
        <v>1.25</v>
      </c>
      <c r="S52" s="171" t="s">
        <v>236</v>
      </c>
      <c r="T52" s="143">
        <f t="shared" si="39"/>
        <v>0.19800000000000001</v>
      </c>
      <c r="U52" s="143">
        <f t="shared" si="40"/>
        <v>0.75</v>
      </c>
      <c r="V52" s="171" t="s">
        <v>236</v>
      </c>
      <c r="W52" s="143">
        <f t="shared" si="41"/>
        <v>0.11880000000000002</v>
      </c>
      <c r="X52" s="171" t="s">
        <v>236</v>
      </c>
      <c r="Y52" s="171" t="s">
        <v>236</v>
      </c>
      <c r="Z52" s="171" t="s">
        <v>236</v>
      </c>
      <c r="AA52" s="143">
        <f t="shared" si="42"/>
        <v>0.25</v>
      </c>
      <c r="AB52" s="171" t="s">
        <v>236</v>
      </c>
      <c r="AC52" s="143">
        <f t="shared" si="43"/>
        <v>3.9600000000000003E-2</v>
      </c>
      <c r="AE52" s="19" t="s">
        <v>10</v>
      </c>
      <c r="AF52" s="28">
        <f>QSTBKT!F36</f>
        <v>4</v>
      </c>
      <c r="AG52" s="29">
        <v>3.3000000000000002E-2</v>
      </c>
      <c r="AH52" s="28">
        <v>1200</v>
      </c>
      <c r="AI52" s="29">
        <f>AF52*AG52*AH52/1000</f>
        <v>0.15840000000000001</v>
      </c>
      <c r="AJ52" s="16"/>
    </row>
    <row r="53" spans="1:36" ht="18.75">
      <c r="A53" s="140" t="s">
        <v>132</v>
      </c>
      <c r="B53" s="137">
        <f t="shared" si="29"/>
        <v>15</v>
      </c>
      <c r="C53" s="143">
        <f t="shared" si="30"/>
        <v>1.7</v>
      </c>
      <c r="D53" s="170">
        <f t="shared" si="31"/>
        <v>0.33659999999999995</v>
      </c>
      <c r="E53" s="143"/>
      <c r="F53" s="143"/>
      <c r="G53" s="143">
        <f t="shared" si="32"/>
        <v>1</v>
      </c>
      <c r="H53" s="143">
        <f t="shared" si="33"/>
        <v>0.19799999999999998</v>
      </c>
      <c r="I53" s="143">
        <f t="shared" si="34"/>
        <v>0.5</v>
      </c>
      <c r="J53" s="171" t="s">
        <v>236</v>
      </c>
      <c r="K53" s="143">
        <f t="shared" si="35"/>
        <v>9.8999999999999991E-2</v>
      </c>
      <c r="L53" s="143">
        <f t="shared" si="36"/>
        <v>0.5</v>
      </c>
      <c r="M53" s="171" t="s">
        <v>236</v>
      </c>
      <c r="N53" s="143">
        <f t="shared" si="37"/>
        <v>9.8999999999999991E-2</v>
      </c>
      <c r="O53" s="171" t="s">
        <v>236</v>
      </c>
      <c r="P53" s="171" t="s">
        <v>236</v>
      </c>
      <c r="Q53" s="171" t="s">
        <v>236</v>
      </c>
      <c r="R53" s="143">
        <f t="shared" si="38"/>
        <v>1.25</v>
      </c>
      <c r="S53" s="171" t="s">
        <v>236</v>
      </c>
      <c r="T53" s="143">
        <f t="shared" si="39"/>
        <v>0.24749999999999997</v>
      </c>
      <c r="U53" s="143">
        <f t="shared" si="40"/>
        <v>0.75</v>
      </c>
      <c r="V53" s="171" t="s">
        <v>236</v>
      </c>
      <c r="W53" s="143">
        <f t="shared" si="41"/>
        <v>0.14849999999999999</v>
      </c>
      <c r="X53" s="171" t="s">
        <v>236</v>
      </c>
      <c r="Y53" s="171" t="s">
        <v>236</v>
      </c>
      <c r="Z53" s="171" t="s">
        <v>236</v>
      </c>
      <c r="AA53" s="143">
        <f t="shared" si="42"/>
        <v>0.25</v>
      </c>
      <c r="AB53" s="171" t="s">
        <v>236</v>
      </c>
      <c r="AC53" s="143">
        <f t="shared" si="43"/>
        <v>4.9499999999999995E-2</v>
      </c>
      <c r="AE53" s="19" t="s">
        <v>9</v>
      </c>
      <c r="AF53" s="28">
        <f>QSTBKT!E36</f>
        <v>15</v>
      </c>
      <c r="AG53" s="29">
        <v>2.1999999999999999E-2</v>
      </c>
      <c r="AH53" s="28">
        <v>600</v>
      </c>
      <c r="AI53" s="29">
        <f>AF53*AG53*AH53/1000</f>
        <v>0.19799999999999998</v>
      </c>
      <c r="AJ53" s="16"/>
    </row>
    <row r="54" spans="1:36" ht="18.75">
      <c r="A54" s="140" t="s">
        <v>133</v>
      </c>
      <c r="B54" s="137">
        <f t="shared" si="29"/>
        <v>161</v>
      </c>
      <c r="C54" s="143">
        <f t="shared" si="30"/>
        <v>1.7</v>
      </c>
      <c r="D54" s="170">
        <f t="shared" si="31"/>
        <v>1.8064199999999999</v>
      </c>
      <c r="E54" s="143"/>
      <c r="F54" s="143"/>
      <c r="G54" s="143">
        <f t="shared" si="32"/>
        <v>1</v>
      </c>
      <c r="H54" s="143">
        <f t="shared" si="33"/>
        <v>1.0626</v>
      </c>
      <c r="I54" s="143">
        <f t="shared" si="34"/>
        <v>0.5</v>
      </c>
      <c r="J54" s="171" t="s">
        <v>236</v>
      </c>
      <c r="K54" s="143">
        <f t="shared" si="35"/>
        <v>0.53129999999999999</v>
      </c>
      <c r="L54" s="143">
        <f t="shared" si="36"/>
        <v>0.5</v>
      </c>
      <c r="M54" s="171" t="s">
        <v>236</v>
      </c>
      <c r="N54" s="143">
        <f t="shared" si="37"/>
        <v>0.53129999999999999</v>
      </c>
      <c r="O54" s="171" t="s">
        <v>236</v>
      </c>
      <c r="P54" s="171" t="s">
        <v>236</v>
      </c>
      <c r="Q54" s="171" t="s">
        <v>236</v>
      </c>
      <c r="R54" s="143">
        <f t="shared" si="38"/>
        <v>1.25</v>
      </c>
      <c r="S54" s="171" t="s">
        <v>236</v>
      </c>
      <c r="T54" s="143">
        <f t="shared" si="39"/>
        <v>1.3282499999999999</v>
      </c>
      <c r="U54" s="143">
        <f t="shared" si="40"/>
        <v>0.75</v>
      </c>
      <c r="V54" s="171" t="s">
        <v>236</v>
      </c>
      <c r="W54" s="143">
        <f t="shared" si="41"/>
        <v>0.79695000000000005</v>
      </c>
      <c r="X54" s="171" t="s">
        <v>236</v>
      </c>
      <c r="Y54" s="171" t="s">
        <v>236</v>
      </c>
      <c r="Z54" s="171" t="s">
        <v>236</v>
      </c>
      <c r="AA54" s="143">
        <f t="shared" si="42"/>
        <v>0.25</v>
      </c>
      <c r="AB54" s="171" t="s">
        <v>236</v>
      </c>
      <c r="AC54" s="143">
        <f t="shared" si="43"/>
        <v>0.26565</v>
      </c>
      <c r="AE54" s="19" t="s">
        <v>8</v>
      </c>
      <c r="AF54" s="28">
        <f>QSTBKT!D36</f>
        <v>161</v>
      </c>
      <c r="AG54" s="29">
        <v>2.1999999999999999E-2</v>
      </c>
      <c r="AH54" s="28">
        <v>300</v>
      </c>
      <c r="AI54" s="29">
        <f>AF54*AG54*AH54/1000</f>
        <v>1.0626</v>
      </c>
      <c r="AJ54" s="18"/>
    </row>
    <row r="55" spans="1:36" ht="18.75">
      <c r="A55" s="140" t="s">
        <v>134</v>
      </c>
      <c r="B55" s="137">
        <f t="shared" si="29"/>
        <v>12</v>
      </c>
      <c r="C55" s="143">
        <f t="shared" si="30"/>
        <v>2.2000000000000002</v>
      </c>
      <c r="D55" s="170">
        <f t="shared" si="31"/>
        <v>8.8704000000000005E-3</v>
      </c>
      <c r="E55" s="143"/>
      <c r="F55" s="143"/>
      <c r="G55" s="143">
        <f t="shared" si="32"/>
        <v>1</v>
      </c>
      <c r="H55" s="143">
        <f t="shared" si="33"/>
        <v>4.032E-3</v>
      </c>
      <c r="I55" s="143">
        <f t="shared" si="34"/>
        <v>1</v>
      </c>
      <c r="J55" s="171" t="s">
        <v>236</v>
      </c>
      <c r="K55" s="143">
        <f t="shared" si="35"/>
        <v>4.032E-3</v>
      </c>
      <c r="L55" s="143">
        <f t="shared" si="36"/>
        <v>1</v>
      </c>
      <c r="M55" s="171" t="s">
        <v>236</v>
      </c>
      <c r="N55" s="143">
        <f t="shared" si="37"/>
        <v>4.032E-3</v>
      </c>
      <c r="O55" s="171" t="s">
        <v>236</v>
      </c>
      <c r="P55" s="171" t="s">
        <v>236</v>
      </c>
      <c r="Q55" s="171" t="s">
        <v>236</v>
      </c>
      <c r="R55" s="143">
        <f t="shared" si="38"/>
        <v>1.25</v>
      </c>
      <c r="S55" s="171" t="s">
        <v>236</v>
      </c>
      <c r="T55" s="143">
        <f t="shared" si="39"/>
        <v>5.0400000000000002E-3</v>
      </c>
      <c r="U55" s="143">
        <f t="shared" si="40"/>
        <v>0.25</v>
      </c>
      <c r="V55" s="171" t="s">
        <v>236</v>
      </c>
      <c r="W55" s="143">
        <f t="shared" si="41"/>
        <v>1.008E-3</v>
      </c>
      <c r="X55" s="171" t="s">
        <v>236</v>
      </c>
      <c r="Y55" s="171" t="s">
        <v>236</v>
      </c>
      <c r="Z55" s="171" t="s">
        <v>236</v>
      </c>
      <c r="AA55" s="143">
        <f t="shared" si="42"/>
        <v>0.75</v>
      </c>
      <c r="AB55" s="171" t="s">
        <v>236</v>
      </c>
      <c r="AC55" s="143">
        <f t="shared" si="43"/>
        <v>3.0239999999999998E-3</v>
      </c>
      <c r="AE55" s="19" t="s">
        <v>7</v>
      </c>
      <c r="AF55" s="28">
        <f>QSTBKT!C36</f>
        <v>12</v>
      </c>
      <c r="AG55" s="29">
        <v>1.4E-2</v>
      </c>
      <c r="AH55" s="28">
        <v>24</v>
      </c>
      <c r="AI55" s="29">
        <f>AF55*AG55*AH55/1000</f>
        <v>4.032E-3</v>
      </c>
      <c r="AJ55" s="16"/>
    </row>
    <row r="56" spans="1:36" ht="18.75">
      <c r="A56" s="141" t="s">
        <v>3</v>
      </c>
      <c r="B56" s="137">
        <f t="shared" si="29"/>
        <v>846</v>
      </c>
      <c r="C56" s="262">
        <f>E56+G56+I56</f>
        <v>1246</v>
      </c>
      <c r="D56" s="142">
        <f t="shared" si="31"/>
        <v>0.9345</v>
      </c>
      <c r="E56" s="143"/>
      <c r="F56" s="143"/>
      <c r="G56" s="261">
        <v>400</v>
      </c>
      <c r="H56" s="138">
        <f t="shared" si="33"/>
        <v>0.3</v>
      </c>
      <c r="I56" s="261">
        <v>846</v>
      </c>
      <c r="J56" s="171" t="s">
        <v>236</v>
      </c>
      <c r="K56" s="138">
        <f t="shared" si="35"/>
        <v>0.63450000000000006</v>
      </c>
      <c r="L56" s="261">
        <v>846</v>
      </c>
      <c r="M56" s="171" t="s">
        <v>236</v>
      </c>
      <c r="N56" s="138">
        <f t="shared" si="37"/>
        <v>0.63450000000000006</v>
      </c>
      <c r="O56" s="171" t="s">
        <v>236</v>
      </c>
      <c r="P56" s="171" t="s">
        <v>236</v>
      </c>
      <c r="Q56" s="171" t="s">
        <v>236</v>
      </c>
      <c r="R56" s="261">
        <v>846</v>
      </c>
      <c r="S56" s="171" t="s">
        <v>236</v>
      </c>
      <c r="T56" s="138">
        <f t="shared" si="39"/>
        <v>0.63450000000000006</v>
      </c>
      <c r="U56" s="143">
        <f>E56+R56-L56</f>
        <v>0</v>
      </c>
      <c r="V56" s="171" t="s">
        <v>236</v>
      </c>
      <c r="W56" s="138">
        <f t="shared" si="41"/>
        <v>0</v>
      </c>
      <c r="X56" s="171" t="s">
        <v>236</v>
      </c>
      <c r="Y56" s="171" t="s">
        <v>236</v>
      </c>
      <c r="Z56" s="171" t="s">
        <v>236</v>
      </c>
      <c r="AA56" s="262">
        <f>I56+G56-R56</f>
        <v>400</v>
      </c>
      <c r="AB56" s="171" t="s">
        <v>236</v>
      </c>
      <c r="AC56" s="138">
        <f t="shared" si="43"/>
        <v>0.3</v>
      </c>
      <c r="AE56" s="32" t="s">
        <v>3</v>
      </c>
      <c r="AF56" s="21">
        <f>QSTBKT!H36</f>
        <v>846</v>
      </c>
      <c r="AG56" s="22">
        <v>0.75</v>
      </c>
      <c r="AH56" s="26"/>
      <c r="AI56" s="25">
        <f>0.75/1000</f>
        <v>7.5000000000000002E-4</v>
      </c>
      <c r="AJ56" s="17"/>
    </row>
    <row r="57" spans="1:36" ht="20.25">
      <c r="A57" s="135"/>
      <c r="B57" s="132"/>
      <c r="C57" s="133"/>
      <c r="D57" s="134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E57" s="362" t="s">
        <v>73</v>
      </c>
      <c r="AF57" s="362"/>
      <c r="AG57" s="362"/>
      <c r="AH57" s="362"/>
      <c r="AI57" s="362"/>
    </row>
    <row r="58" spans="1:36" ht="18.75">
      <c r="A58" s="145" t="s">
        <v>35</v>
      </c>
      <c r="B58" s="146"/>
      <c r="C58" s="150"/>
      <c r="D58" s="147">
        <f>D59+D60+D65+D71</f>
        <v>8.8081668000000004</v>
      </c>
      <c r="E58" s="145"/>
      <c r="F58" s="145"/>
      <c r="G58" s="145"/>
      <c r="H58" s="147">
        <f>H59+H60+H65+H71</f>
        <v>5.9909439999999998</v>
      </c>
      <c r="I58" s="145"/>
      <c r="J58" s="145"/>
      <c r="K58" s="147">
        <f>K59+K60+K65+K71</f>
        <v>1.7588840000000001</v>
      </c>
      <c r="L58" s="145"/>
      <c r="M58" s="145"/>
      <c r="N58" s="147">
        <f>N59+N60+N65+N71</f>
        <v>1.7588840000000001</v>
      </c>
      <c r="O58" s="145"/>
      <c r="P58" s="145"/>
      <c r="Q58" s="147"/>
      <c r="R58" s="145"/>
      <c r="S58" s="145"/>
      <c r="T58" s="147">
        <f>T59+T60+T65+T71</f>
        <v>5.9976800000000008</v>
      </c>
      <c r="U58" s="145"/>
      <c r="V58" s="145"/>
      <c r="W58" s="147">
        <f>W59+W60+W65+W71</f>
        <v>4.2387959999999998</v>
      </c>
      <c r="X58" s="145"/>
      <c r="Y58" s="145"/>
      <c r="Z58" s="145"/>
      <c r="AA58" s="145"/>
      <c r="AB58" s="145"/>
      <c r="AC58" s="147">
        <f>AC59+AC60+AC65+AC71</f>
        <v>1.752148</v>
      </c>
      <c r="AE58" s="20"/>
      <c r="AF58" s="19" t="s">
        <v>44</v>
      </c>
      <c r="AG58" s="24" t="s">
        <v>45</v>
      </c>
      <c r="AH58" s="31" t="s">
        <v>46</v>
      </c>
      <c r="AI58" s="24" t="s">
        <v>47</v>
      </c>
    </row>
    <row r="59" spans="1:36" ht="18.75">
      <c r="A59" s="145" t="s">
        <v>125</v>
      </c>
      <c r="B59" s="146">
        <f t="shared" si="29"/>
        <v>3</v>
      </c>
      <c r="C59" s="173">
        <f>C44</f>
        <v>2.2999999999999998</v>
      </c>
      <c r="D59" s="172">
        <f>C59*AI59</f>
        <v>1.4076</v>
      </c>
      <c r="E59" s="150"/>
      <c r="F59" s="150"/>
      <c r="G59" s="173">
        <f>G44</f>
        <v>1.5</v>
      </c>
      <c r="H59" s="173">
        <f t="shared" ref="H59:H71" si="44">G59*AI59</f>
        <v>0.91799999999999993</v>
      </c>
      <c r="I59" s="173">
        <f>I44</f>
        <v>0.3</v>
      </c>
      <c r="J59" s="174" t="s">
        <v>236</v>
      </c>
      <c r="K59" s="173">
        <f>I59*AI59</f>
        <v>0.18359999999999999</v>
      </c>
      <c r="L59" s="173">
        <f>L44</f>
        <v>0.3</v>
      </c>
      <c r="M59" s="174" t="s">
        <v>236</v>
      </c>
      <c r="N59" s="173">
        <f>L59*AI59</f>
        <v>0.18359999999999999</v>
      </c>
      <c r="O59" s="174" t="s">
        <v>236</v>
      </c>
      <c r="P59" s="174" t="s">
        <v>236</v>
      </c>
      <c r="Q59" s="174" t="s">
        <v>236</v>
      </c>
      <c r="R59" s="173">
        <f>R44</f>
        <v>1.25</v>
      </c>
      <c r="S59" s="174" t="s">
        <v>236</v>
      </c>
      <c r="T59" s="173">
        <f>R59*AI59</f>
        <v>0.76500000000000001</v>
      </c>
      <c r="U59" s="173">
        <f>U44</f>
        <v>0.95</v>
      </c>
      <c r="V59" s="174" t="s">
        <v>236</v>
      </c>
      <c r="W59" s="173">
        <f>U59*AI59</f>
        <v>0.58139999999999992</v>
      </c>
      <c r="X59" s="174" t="s">
        <v>236</v>
      </c>
      <c r="Y59" s="174" t="s">
        <v>236</v>
      </c>
      <c r="Z59" s="174" t="s">
        <v>236</v>
      </c>
      <c r="AA59" s="173">
        <f>AA44</f>
        <v>0.55000000000000004</v>
      </c>
      <c r="AB59" s="174" t="s">
        <v>236</v>
      </c>
      <c r="AC59" s="173">
        <f>AA59*AI59</f>
        <v>0.33660000000000001</v>
      </c>
      <c r="AE59" s="19" t="s">
        <v>60</v>
      </c>
      <c r="AF59" s="28">
        <f>QSTBKT!M51</f>
        <v>3</v>
      </c>
      <c r="AG59" s="29">
        <v>0.17</v>
      </c>
      <c r="AH59" s="28">
        <v>1200</v>
      </c>
      <c r="AI59" s="29">
        <f>AF59*AG59*AH59/1000</f>
        <v>0.61199999999999999</v>
      </c>
    </row>
    <row r="60" spans="1:36" ht="18.75">
      <c r="A60" s="145" t="s">
        <v>135</v>
      </c>
      <c r="B60" s="146"/>
      <c r="C60" s="173">
        <f t="shared" ref="C60:C70" si="45">C45</f>
        <v>0</v>
      </c>
      <c r="D60" s="147">
        <f>D61+D62+D63+D64</f>
        <v>3.2587500000000005</v>
      </c>
      <c r="E60" s="145"/>
      <c r="F60" s="145"/>
      <c r="G60" s="148"/>
      <c r="H60" s="147">
        <f>H61+H62+H63+H64</f>
        <v>2.5300000000000002</v>
      </c>
      <c r="I60" s="148"/>
      <c r="J60" s="149" t="s">
        <v>236</v>
      </c>
      <c r="K60" s="147">
        <f>K61+K62+K63+K64</f>
        <v>0.38060000000000005</v>
      </c>
      <c r="L60" s="148"/>
      <c r="M60" s="149" t="s">
        <v>236</v>
      </c>
      <c r="N60" s="147">
        <f>N61+N62+N63+N64</f>
        <v>0.38060000000000005</v>
      </c>
      <c r="O60" s="149" t="s">
        <v>236</v>
      </c>
      <c r="P60" s="149" t="s">
        <v>236</v>
      </c>
      <c r="Q60" s="149" t="s">
        <v>236</v>
      </c>
      <c r="R60" s="148"/>
      <c r="S60" s="149" t="s">
        <v>236</v>
      </c>
      <c r="T60" s="147">
        <f>T61+T62+T63+T64</f>
        <v>2.3210000000000002</v>
      </c>
      <c r="U60" s="148"/>
      <c r="V60" s="149" t="s">
        <v>236</v>
      </c>
      <c r="W60" s="147">
        <f>W61+W62+W63+W64</f>
        <v>1.9404000000000001</v>
      </c>
      <c r="X60" s="149" t="s">
        <v>236</v>
      </c>
      <c r="Y60" s="149" t="s">
        <v>236</v>
      </c>
      <c r="Z60" s="149" t="s">
        <v>236</v>
      </c>
      <c r="AA60" s="148"/>
      <c r="AB60" s="149" t="s">
        <v>236</v>
      </c>
      <c r="AC60" s="147">
        <f>AC61+AC62+AC63+AC64</f>
        <v>0.58960000000000001</v>
      </c>
      <c r="AE60" s="358" t="s">
        <v>68</v>
      </c>
      <c r="AF60" s="359"/>
      <c r="AG60" s="359"/>
      <c r="AH60" s="360"/>
      <c r="AI60" s="30"/>
    </row>
    <row r="61" spans="1:36" ht="18.75">
      <c r="A61" s="150" t="s">
        <v>126</v>
      </c>
      <c r="B61" s="146">
        <f>AF64</f>
        <v>3</v>
      </c>
      <c r="C61" s="173">
        <f t="shared" si="45"/>
        <v>1.35</v>
      </c>
      <c r="D61" s="172">
        <f t="shared" ref="D61:D71" si="46">C61*AI61</f>
        <v>0</v>
      </c>
      <c r="E61" s="150"/>
      <c r="F61" s="150"/>
      <c r="G61" s="173">
        <f t="shared" ref="G61:I70" si="47">G46</f>
        <v>1.25</v>
      </c>
      <c r="H61" s="173">
        <f t="shared" si="44"/>
        <v>0</v>
      </c>
      <c r="I61" s="173">
        <f t="shared" si="47"/>
        <v>0.1</v>
      </c>
      <c r="J61" s="174" t="s">
        <v>236</v>
      </c>
      <c r="K61" s="173">
        <f>I61*AI61</f>
        <v>0</v>
      </c>
      <c r="L61" s="173">
        <f t="shared" ref="L61" si="48">L46</f>
        <v>0</v>
      </c>
      <c r="M61" s="174" t="s">
        <v>236</v>
      </c>
      <c r="N61" s="173">
        <f>L61*AI61</f>
        <v>0</v>
      </c>
      <c r="O61" s="174" t="s">
        <v>236</v>
      </c>
      <c r="P61" s="174" t="s">
        <v>236</v>
      </c>
      <c r="Q61" s="174" t="s">
        <v>236</v>
      </c>
      <c r="R61" s="173">
        <f t="shared" ref="R61" si="49">R46</f>
        <v>1</v>
      </c>
      <c r="S61" s="174" t="s">
        <v>236</v>
      </c>
      <c r="T61" s="173">
        <f>R61*AI61</f>
        <v>0</v>
      </c>
      <c r="U61" s="173">
        <f t="shared" ref="U61" si="50">U46</f>
        <v>1</v>
      </c>
      <c r="V61" s="174" t="s">
        <v>236</v>
      </c>
      <c r="W61" s="173">
        <f>U61*AI61</f>
        <v>0</v>
      </c>
      <c r="X61" s="174" t="s">
        <v>236</v>
      </c>
      <c r="Y61" s="174" t="s">
        <v>236</v>
      </c>
      <c r="Z61" s="174" t="s">
        <v>236</v>
      </c>
      <c r="AA61" s="173">
        <f t="shared" ref="AA61" si="51">AA46</f>
        <v>0.35000000000000009</v>
      </c>
      <c r="AB61" s="174" t="s">
        <v>236</v>
      </c>
      <c r="AC61" s="173">
        <f>AA61*AI61</f>
        <v>0</v>
      </c>
      <c r="AE61" s="19" t="s">
        <v>58</v>
      </c>
      <c r="AF61" s="28">
        <f>QSTBKT!K51</f>
        <v>0</v>
      </c>
      <c r="AG61" s="29">
        <v>23</v>
      </c>
      <c r="AH61" s="28">
        <v>80</v>
      </c>
      <c r="AI61" s="29">
        <f>AH61*AG61*AF61/1000</f>
        <v>0</v>
      </c>
    </row>
    <row r="62" spans="1:36" ht="18.75">
      <c r="A62" s="151" t="s">
        <v>127</v>
      </c>
      <c r="B62" s="146">
        <f>AF61</f>
        <v>0</v>
      </c>
      <c r="C62" s="173">
        <f t="shared" si="45"/>
        <v>1.5</v>
      </c>
      <c r="D62" s="172">
        <f t="shared" si="46"/>
        <v>0.75</v>
      </c>
      <c r="E62" s="150"/>
      <c r="F62" s="150"/>
      <c r="G62" s="173">
        <f t="shared" si="47"/>
        <v>1.25</v>
      </c>
      <c r="H62" s="173">
        <f t="shared" si="44"/>
        <v>0.625</v>
      </c>
      <c r="I62" s="173">
        <f t="shared" si="47"/>
        <v>0.1</v>
      </c>
      <c r="J62" s="174" t="s">
        <v>236</v>
      </c>
      <c r="K62" s="173">
        <f>I62*AI62</f>
        <v>0.05</v>
      </c>
      <c r="L62" s="173">
        <f t="shared" ref="L62" si="52">L47</f>
        <v>0.1</v>
      </c>
      <c r="M62" s="174" t="s">
        <v>236</v>
      </c>
      <c r="N62" s="173">
        <f t="shared" ref="N62:N64" si="53">L62*AI62</f>
        <v>0.05</v>
      </c>
      <c r="O62" s="174" t="s">
        <v>236</v>
      </c>
      <c r="P62" s="174" t="s">
        <v>236</v>
      </c>
      <c r="Q62" s="174" t="s">
        <v>236</v>
      </c>
      <c r="R62" s="173">
        <f t="shared" ref="R62" si="54">R47</f>
        <v>1</v>
      </c>
      <c r="S62" s="174" t="s">
        <v>236</v>
      </c>
      <c r="T62" s="173">
        <f t="shared" ref="T62:T71" si="55">R62*AI62</f>
        <v>0.5</v>
      </c>
      <c r="U62" s="173">
        <f t="shared" ref="U62" si="56">U47</f>
        <v>0.9</v>
      </c>
      <c r="V62" s="174" t="s">
        <v>236</v>
      </c>
      <c r="W62" s="173">
        <f t="shared" ref="W62:W71" si="57">U62*AI62</f>
        <v>0.45</v>
      </c>
      <c r="X62" s="174" t="s">
        <v>236</v>
      </c>
      <c r="Y62" s="174" t="s">
        <v>236</v>
      </c>
      <c r="Z62" s="174" t="s">
        <v>236</v>
      </c>
      <c r="AA62" s="173">
        <f t="shared" ref="AA62" si="58">AA47</f>
        <v>0.35000000000000009</v>
      </c>
      <c r="AB62" s="174" t="s">
        <v>236</v>
      </c>
      <c r="AC62" s="173">
        <f t="shared" ref="AC62:AC71" si="59">AA62*AI62</f>
        <v>0.17500000000000004</v>
      </c>
      <c r="AE62" s="19" t="s">
        <v>57</v>
      </c>
      <c r="AF62" s="28">
        <f>QSTBKT!J51</f>
        <v>1</v>
      </c>
      <c r="AG62" s="29">
        <v>5</v>
      </c>
      <c r="AH62" s="28">
        <v>100</v>
      </c>
      <c r="AI62" s="29">
        <f>AH62*AG62*AF62/1000</f>
        <v>0.5</v>
      </c>
    </row>
    <row r="63" spans="1:36" ht="18.75">
      <c r="A63" s="151" t="s">
        <v>128</v>
      </c>
      <c r="B63" s="146">
        <f>AF62</f>
        <v>1</v>
      </c>
      <c r="C63" s="173">
        <f t="shared" si="45"/>
        <v>1.5</v>
      </c>
      <c r="D63" s="172">
        <f t="shared" si="46"/>
        <v>0.504</v>
      </c>
      <c r="E63" s="150"/>
      <c r="F63" s="150"/>
      <c r="G63" s="173">
        <f t="shared" si="47"/>
        <v>1.25</v>
      </c>
      <c r="H63" s="173">
        <f t="shared" si="44"/>
        <v>0.42000000000000004</v>
      </c>
      <c r="I63" s="173">
        <f t="shared" si="47"/>
        <v>0.1</v>
      </c>
      <c r="J63" s="174" t="s">
        <v>236</v>
      </c>
      <c r="K63" s="173">
        <f>I63*AI63</f>
        <v>3.3600000000000005E-2</v>
      </c>
      <c r="L63" s="173">
        <f t="shared" ref="L63" si="60">L48</f>
        <v>0.1</v>
      </c>
      <c r="M63" s="174" t="s">
        <v>236</v>
      </c>
      <c r="N63" s="173">
        <f t="shared" si="53"/>
        <v>3.3600000000000005E-2</v>
      </c>
      <c r="O63" s="174" t="s">
        <v>236</v>
      </c>
      <c r="P63" s="174" t="s">
        <v>236</v>
      </c>
      <c r="Q63" s="174" t="s">
        <v>236</v>
      </c>
      <c r="R63" s="173">
        <f t="shared" ref="R63" si="61">R48</f>
        <v>1</v>
      </c>
      <c r="S63" s="174" t="s">
        <v>236</v>
      </c>
      <c r="T63" s="173">
        <f t="shared" si="55"/>
        <v>0.33600000000000002</v>
      </c>
      <c r="U63" s="173">
        <f t="shared" ref="U63" si="62">U48</f>
        <v>0.9</v>
      </c>
      <c r="V63" s="174" t="s">
        <v>236</v>
      </c>
      <c r="W63" s="173">
        <f t="shared" si="57"/>
        <v>0.3024</v>
      </c>
      <c r="X63" s="174" t="s">
        <v>236</v>
      </c>
      <c r="Y63" s="174" t="s">
        <v>236</v>
      </c>
      <c r="Z63" s="174" t="s">
        <v>236</v>
      </c>
      <c r="AA63" s="173">
        <f t="shared" ref="AA63" si="63">AA48</f>
        <v>0.35000000000000009</v>
      </c>
      <c r="AB63" s="174" t="s">
        <v>236</v>
      </c>
      <c r="AC63" s="173">
        <f t="shared" si="59"/>
        <v>0.11760000000000004</v>
      </c>
      <c r="AE63" s="19" t="s">
        <v>56</v>
      </c>
      <c r="AF63" s="28">
        <f>QSTBKT!I51</f>
        <v>2</v>
      </c>
      <c r="AG63" s="29">
        <v>2.1</v>
      </c>
      <c r="AH63" s="28">
        <v>80</v>
      </c>
      <c r="AI63" s="29">
        <f>AH63*AG63*AF63/1000</f>
        <v>0.33600000000000002</v>
      </c>
    </row>
    <row r="64" spans="1:36" ht="18.75">
      <c r="A64" s="151" t="s">
        <v>129</v>
      </c>
      <c r="B64" s="146">
        <f>AF63</f>
        <v>2</v>
      </c>
      <c r="C64" s="173">
        <f t="shared" si="45"/>
        <v>1.35</v>
      </c>
      <c r="D64" s="172">
        <f t="shared" si="46"/>
        <v>2.0047500000000005</v>
      </c>
      <c r="E64" s="150"/>
      <c r="F64" s="150"/>
      <c r="G64" s="173">
        <f t="shared" si="47"/>
        <v>1</v>
      </c>
      <c r="H64" s="173">
        <f t="shared" si="44"/>
        <v>1.4850000000000001</v>
      </c>
      <c r="I64" s="173">
        <f t="shared" si="47"/>
        <v>0.2</v>
      </c>
      <c r="J64" s="174" t="s">
        <v>236</v>
      </c>
      <c r="K64" s="173">
        <f>I64*AI64</f>
        <v>0.29700000000000004</v>
      </c>
      <c r="L64" s="173">
        <f t="shared" ref="L64" si="64">L49</f>
        <v>0.2</v>
      </c>
      <c r="M64" s="174" t="s">
        <v>236</v>
      </c>
      <c r="N64" s="173">
        <f t="shared" si="53"/>
        <v>0.29700000000000004</v>
      </c>
      <c r="O64" s="174" t="s">
        <v>236</v>
      </c>
      <c r="P64" s="174" t="s">
        <v>236</v>
      </c>
      <c r="Q64" s="174" t="s">
        <v>236</v>
      </c>
      <c r="R64" s="173">
        <f t="shared" ref="R64" si="65">R49</f>
        <v>1</v>
      </c>
      <c r="S64" s="174" t="s">
        <v>236</v>
      </c>
      <c r="T64" s="173">
        <f t="shared" si="55"/>
        <v>1.4850000000000001</v>
      </c>
      <c r="U64" s="173">
        <f t="shared" ref="U64" si="66">U49</f>
        <v>0.8</v>
      </c>
      <c r="V64" s="174" t="s">
        <v>236</v>
      </c>
      <c r="W64" s="173">
        <f t="shared" si="57"/>
        <v>1.1880000000000002</v>
      </c>
      <c r="X64" s="174" t="s">
        <v>236</v>
      </c>
      <c r="Y64" s="174" t="s">
        <v>236</v>
      </c>
      <c r="Z64" s="174" t="s">
        <v>236</v>
      </c>
      <c r="AA64" s="173">
        <f t="shared" ref="AA64" si="67">AA49</f>
        <v>0.19999999999999996</v>
      </c>
      <c r="AB64" s="174" t="s">
        <v>236</v>
      </c>
      <c r="AC64" s="173">
        <f t="shared" si="59"/>
        <v>0.29699999999999993</v>
      </c>
      <c r="AE64" s="19" t="s">
        <v>12</v>
      </c>
      <c r="AF64" s="28">
        <f>QSTBKT!L51</f>
        <v>3</v>
      </c>
      <c r="AG64" s="29">
        <v>16.5</v>
      </c>
      <c r="AH64" s="28">
        <v>30</v>
      </c>
      <c r="AI64" s="29">
        <f>AH64*AG64*AF64/1000</f>
        <v>1.4850000000000001</v>
      </c>
    </row>
    <row r="65" spans="1:35" ht="18.75">
      <c r="A65" s="152" t="s">
        <v>136</v>
      </c>
      <c r="B65" s="146"/>
      <c r="C65" s="173"/>
      <c r="D65" s="147">
        <f>D66+D67+D68+D69+D70</f>
        <v>3.5313168000000004</v>
      </c>
      <c r="E65" s="145"/>
      <c r="F65" s="145"/>
      <c r="G65" s="148"/>
      <c r="H65" s="147">
        <f>H66+H67+H68+H69+H70</f>
        <v>2.3179439999999998</v>
      </c>
      <c r="I65" s="148"/>
      <c r="J65" s="149" t="s">
        <v>236</v>
      </c>
      <c r="K65" s="147">
        <f>K66+K67+K68+K69+K70</f>
        <v>0.80918400000000013</v>
      </c>
      <c r="L65" s="148"/>
      <c r="M65" s="149" t="s">
        <v>236</v>
      </c>
      <c r="N65" s="147">
        <f>N66+N67+N68+N69+N70</f>
        <v>0.80918400000000013</v>
      </c>
      <c r="O65" s="149" t="s">
        <v>236</v>
      </c>
      <c r="P65" s="149" t="s">
        <v>236</v>
      </c>
      <c r="Q65" s="149" t="s">
        <v>236</v>
      </c>
      <c r="R65" s="148"/>
      <c r="S65" s="149" t="s">
        <v>236</v>
      </c>
      <c r="T65" s="147">
        <f>T66+T67+T68+T69+T70</f>
        <v>2.5261799999999996</v>
      </c>
      <c r="U65" s="148"/>
      <c r="V65" s="149" t="s">
        <v>236</v>
      </c>
      <c r="W65" s="147">
        <f>W66+W67+W68+W69+W70</f>
        <v>1.7169959999999997</v>
      </c>
      <c r="X65" s="149" t="s">
        <v>236</v>
      </c>
      <c r="Y65" s="149" t="s">
        <v>236</v>
      </c>
      <c r="Z65" s="149" t="s">
        <v>236</v>
      </c>
      <c r="AA65" s="148"/>
      <c r="AB65" s="149" t="s">
        <v>236</v>
      </c>
      <c r="AC65" s="147">
        <f>AC66+AC67+AC68+AC69+AC70</f>
        <v>0.60094800000000004</v>
      </c>
      <c r="AE65" s="361" t="s">
        <v>54</v>
      </c>
      <c r="AF65" s="361"/>
      <c r="AG65" s="361"/>
      <c r="AH65" s="361"/>
      <c r="AI65" s="30"/>
    </row>
    <row r="66" spans="1:35" ht="18.75">
      <c r="A66" s="151" t="s">
        <v>130</v>
      </c>
      <c r="B66" s="146">
        <f t="shared" si="29"/>
        <v>18</v>
      </c>
      <c r="C66" s="173">
        <f t="shared" si="45"/>
        <v>1.78</v>
      </c>
      <c r="D66" s="172">
        <f t="shared" si="46"/>
        <v>2.1146400000000001</v>
      </c>
      <c r="E66" s="150"/>
      <c r="F66" s="150"/>
      <c r="G66" s="173">
        <f t="shared" si="47"/>
        <v>1.25</v>
      </c>
      <c r="H66" s="173">
        <f t="shared" si="44"/>
        <v>1.4849999999999999</v>
      </c>
      <c r="I66" s="173">
        <f t="shared" si="47"/>
        <v>0.33</v>
      </c>
      <c r="J66" s="174" t="s">
        <v>236</v>
      </c>
      <c r="K66" s="173">
        <f>I66*AI66</f>
        <v>0.39204</v>
      </c>
      <c r="L66" s="173">
        <f t="shared" ref="L66" si="68">L51</f>
        <v>0.33</v>
      </c>
      <c r="M66" s="174" t="s">
        <v>236</v>
      </c>
      <c r="N66" s="173">
        <f>L66*AI66</f>
        <v>0.39204</v>
      </c>
      <c r="O66" s="174" t="s">
        <v>236</v>
      </c>
      <c r="P66" s="174" t="s">
        <v>236</v>
      </c>
      <c r="Q66" s="174" t="s">
        <v>236</v>
      </c>
      <c r="R66" s="173">
        <f t="shared" ref="R66" si="69">R51</f>
        <v>1.25</v>
      </c>
      <c r="S66" s="174" t="s">
        <v>236</v>
      </c>
      <c r="T66" s="173">
        <f t="shared" si="55"/>
        <v>1.4849999999999999</v>
      </c>
      <c r="U66" s="173">
        <f t="shared" ref="U66" si="70">U51</f>
        <v>0.91999999999999993</v>
      </c>
      <c r="V66" s="174" t="s">
        <v>236</v>
      </c>
      <c r="W66" s="173">
        <f t="shared" si="57"/>
        <v>1.0929599999999999</v>
      </c>
      <c r="X66" s="174" t="s">
        <v>236</v>
      </c>
      <c r="Y66" s="174" t="s">
        <v>236</v>
      </c>
      <c r="Z66" s="174" t="s">
        <v>236</v>
      </c>
      <c r="AA66" s="173">
        <f t="shared" ref="AA66" si="71">AA51</f>
        <v>0.33000000000000007</v>
      </c>
      <c r="AB66" s="174" t="s">
        <v>236</v>
      </c>
      <c r="AC66" s="173">
        <f t="shared" si="59"/>
        <v>0.39204000000000006</v>
      </c>
      <c r="AE66" s="19" t="s">
        <v>52</v>
      </c>
      <c r="AF66" s="28">
        <f>QSTBKT!G51</f>
        <v>18</v>
      </c>
      <c r="AG66" s="29">
        <v>5.5</v>
      </c>
      <c r="AH66" s="28">
        <v>12</v>
      </c>
      <c r="AI66" s="29">
        <f>AF66*AG66*AH66/1000</f>
        <v>1.1879999999999999</v>
      </c>
    </row>
    <row r="67" spans="1:35" ht="18.75">
      <c r="A67" s="151" t="s">
        <v>131</v>
      </c>
      <c r="B67" s="146">
        <f t="shared" si="29"/>
        <v>2</v>
      </c>
      <c r="C67" s="173">
        <f t="shared" si="45"/>
        <v>1.7</v>
      </c>
      <c r="D67" s="172">
        <f t="shared" si="46"/>
        <v>0.13464000000000001</v>
      </c>
      <c r="E67" s="150"/>
      <c r="F67" s="150"/>
      <c r="G67" s="173">
        <f t="shared" si="47"/>
        <v>1</v>
      </c>
      <c r="H67" s="173">
        <f t="shared" si="44"/>
        <v>7.9200000000000007E-2</v>
      </c>
      <c r="I67" s="173">
        <f t="shared" si="47"/>
        <v>0.5</v>
      </c>
      <c r="J67" s="174" t="s">
        <v>236</v>
      </c>
      <c r="K67" s="173">
        <f t="shared" ref="K67:K71" si="72">I67*AI67</f>
        <v>3.9600000000000003E-2</v>
      </c>
      <c r="L67" s="173">
        <f t="shared" ref="L67" si="73">L52</f>
        <v>0.5</v>
      </c>
      <c r="M67" s="174" t="s">
        <v>236</v>
      </c>
      <c r="N67" s="173">
        <f t="shared" ref="N67:N71" si="74">L67*AI67</f>
        <v>3.9600000000000003E-2</v>
      </c>
      <c r="O67" s="174" t="s">
        <v>236</v>
      </c>
      <c r="P67" s="174" t="s">
        <v>236</v>
      </c>
      <c r="Q67" s="174" t="s">
        <v>236</v>
      </c>
      <c r="R67" s="173">
        <f t="shared" ref="R67" si="75">R52</f>
        <v>1.25</v>
      </c>
      <c r="S67" s="174" t="s">
        <v>236</v>
      </c>
      <c r="T67" s="173">
        <f t="shared" si="55"/>
        <v>9.9000000000000005E-2</v>
      </c>
      <c r="U67" s="173">
        <f t="shared" ref="U67" si="76">U52</f>
        <v>0.75</v>
      </c>
      <c r="V67" s="174" t="s">
        <v>236</v>
      </c>
      <c r="W67" s="173">
        <f t="shared" si="57"/>
        <v>5.9400000000000008E-2</v>
      </c>
      <c r="X67" s="174" t="s">
        <v>236</v>
      </c>
      <c r="Y67" s="174" t="s">
        <v>236</v>
      </c>
      <c r="Z67" s="174" t="s">
        <v>236</v>
      </c>
      <c r="AA67" s="173">
        <f t="shared" ref="AA67" si="77">AA52</f>
        <v>0.25</v>
      </c>
      <c r="AB67" s="174" t="s">
        <v>236</v>
      </c>
      <c r="AC67" s="173">
        <f t="shared" si="59"/>
        <v>1.9800000000000002E-2</v>
      </c>
      <c r="AE67" s="19" t="s">
        <v>10</v>
      </c>
      <c r="AF67" s="28">
        <f>QSTBKT!F51</f>
        <v>2</v>
      </c>
      <c r="AG67" s="29">
        <v>3.3000000000000002E-2</v>
      </c>
      <c r="AH67" s="28">
        <v>1200</v>
      </c>
      <c r="AI67" s="29">
        <f>AF67*AG67*AH67/1000</f>
        <v>7.9200000000000007E-2</v>
      </c>
    </row>
    <row r="68" spans="1:35" ht="18.75">
      <c r="A68" s="151" t="s">
        <v>132</v>
      </c>
      <c r="B68" s="146">
        <f t="shared" si="29"/>
        <v>9</v>
      </c>
      <c r="C68" s="173">
        <f t="shared" si="45"/>
        <v>1.7</v>
      </c>
      <c r="D68" s="172">
        <f t="shared" si="46"/>
        <v>0.20195999999999997</v>
      </c>
      <c r="E68" s="150"/>
      <c r="F68" s="150"/>
      <c r="G68" s="173">
        <f t="shared" si="47"/>
        <v>1</v>
      </c>
      <c r="H68" s="173">
        <f t="shared" si="44"/>
        <v>0.11879999999999999</v>
      </c>
      <c r="I68" s="173">
        <f t="shared" si="47"/>
        <v>0.5</v>
      </c>
      <c r="J68" s="174" t="s">
        <v>236</v>
      </c>
      <c r="K68" s="173">
        <f t="shared" si="72"/>
        <v>5.9399999999999994E-2</v>
      </c>
      <c r="L68" s="173">
        <f t="shared" ref="L68" si="78">L53</f>
        <v>0.5</v>
      </c>
      <c r="M68" s="174" t="s">
        <v>236</v>
      </c>
      <c r="N68" s="173">
        <f t="shared" si="74"/>
        <v>5.9399999999999994E-2</v>
      </c>
      <c r="O68" s="174" t="s">
        <v>236</v>
      </c>
      <c r="P68" s="174" t="s">
        <v>236</v>
      </c>
      <c r="Q68" s="174" t="s">
        <v>236</v>
      </c>
      <c r="R68" s="173">
        <f t="shared" ref="R68" si="79">R53</f>
        <v>1.25</v>
      </c>
      <c r="S68" s="174" t="s">
        <v>236</v>
      </c>
      <c r="T68" s="173">
        <f t="shared" si="55"/>
        <v>0.14849999999999999</v>
      </c>
      <c r="U68" s="173">
        <f t="shared" ref="U68" si="80">U53</f>
        <v>0.75</v>
      </c>
      <c r="V68" s="174" t="s">
        <v>236</v>
      </c>
      <c r="W68" s="173">
        <f t="shared" si="57"/>
        <v>8.9099999999999985E-2</v>
      </c>
      <c r="X68" s="174" t="s">
        <v>236</v>
      </c>
      <c r="Y68" s="174" t="s">
        <v>236</v>
      </c>
      <c r="Z68" s="174" t="s">
        <v>236</v>
      </c>
      <c r="AA68" s="173">
        <f t="shared" ref="AA68" si="81">AA53</f>
        <v>0.25</v>
      </c>
      <c r="AB68" s="174" t="s">
        <v>236</v>
      </c>
      <c r="AC68" s="173">
        <f t="shared" si="59"/>
        <v>2.9699999999999997E-2</v>
      </c>
      <c r="AE68" s="19" t="s">
        <v>9</v>
      </c>
      <c r="AF68" s="28">
        <f>QSTBKT!E51</f>
        <v>9</v>
      </c>
      <c r="AG68" s="29">
        <v>2.1999999999999999E-2</v>
      </c>
      <c r="AH68" s="28">
        <v>600</v>
      </c>
      <c r="AI68" s="29">
        <f>AF68*AG68*AH68/1000</f>
        <v>0.11879999999999999</v>
      </c>
    </row>
    <row r="69" spans="1:35" ht="18.75">
      <c r="A69" s="151" t="s">
        <v>133</v>
      </c>
      <c r="B69" s="146">
        <f t="shared" si="29"/>
        <v>96</v>
      </c>
      <c r="C69" s="173">
        <f t="shared" si="45"/>
        <v>1.7</v>
      </c>
      <c r="D69" s="172">
        <f t="shared" si="46"/>
        <v>1.0771200000000001</v>
      </c>
      <c r="E69" s="150"/>
      <c r="F69" s="150"/>
      <c r="G69" s="173">
        <f t="shared" si="47"/>
        <v>1</v>
      </c>
      <c r="H69" s="173">
        <f t="shared" si="44"/>
        <v>0.63360000000000005</v>
      </c>
      <c r="I69" s="173">
        <f t="shared" si="47"/>
        <v>0.5</v>
      </c>
      <c r="J69" s="174" t="s">
        <v>236</v>
      </c>
      <c r="K69" s="173">
        <f t="shared" si="72"/>
        <v>0.31680000000000003</v>
      </c>
      <c r="L69" s="173">
        <f t="shared" ref="L69" si="82">L54</f>
        <v>0.5</v>
      </c>
      <c r="M69" s="174" t="s">
        <v>236</v>
      </c>
      <c r="N69" s="173">
        <f t="shared" si="74"/>
        <v>0.31680000000000003</v>
      </c>
      <c r="O69" s="174" t="s">
        <v>236</v>
      </c>
      <c r="P69" s="174" t="s">
        <v>236</v>
      </c>
      <c r="Q69" s="174" t="s">
        <v>236</v>
      </c>
      <c r="R69" s="173">
        <f t="shared" ref="R69" si="83">R54</f>
        <v>1.25</v>
      </c>
      <c r="S69" s="174" t="s">
        <v>236</v>
      </c>
      <c r="T69" s="173">
        <f t="shared" si="55"/>
        <v>0.79200000000000004</v>
      </c>
      <c r="U69" s="173">
        <f t="shared" ref="U69" si="84">U54</f>
        <v>0.75</v>
      </c>
      <c r="V69" s="174" t="s">
        <v>236</v>
      </c>
      <c r="W69" s="173">
        <f t="shared" si="57"/>
        <v>0.47520000000000007</v>
      </c>
      <c r="X69" s="174" t="s">
        <v>236</v>
      </c>
      <c r="Y69" s="174" t="s">
        <v>236</v>
      </c>
      <c r="Z69" s="174" t="s">
        <v>236</v>
      </c>
      <c r="AA69" s="173">
        <f t="shared" ref="AA69" si="85">AA54</f>
        <v>0.25</v>
      </c>
      <c r="AB69" s="174" t="s">
        <v>236</v>
      </c>
      <c r="AC69" s="173">
        <f t="shared" si="59"/>
        <v>0.15840000000000001</v>
      </c>
      <c r="AE69" s="19" t="s">
        <v>8</v>
      </c>
      <c r="AF69" s="28">
        <f>QSTBKT!D51</f>
        <v>96</v>
      </c>
      <c r="AG69" s="29">
        <v>2.1999999999999999E-2</v>
      </c>
      <c r="AH69" s="28">
        <v>300</v>
      </c>
      <c r="AI69" s="29">
        <f>AF69*AG69*AH69/1000</f>
        <v>0.63360000000000005</v>
      </c>
    </row>
    <row r="70" spans="1:35" ht="18.75">
      <c r="A70" s="151" t="s">
        <v>134</v>
      </c>
      <c r="B70" s="146">
        <f t="shared" si="29"/>
        <v>4</v>
      </c>
      <c r="C70" s="173">
        <f t="shared" si="45"/>
        <v>2.2000000000000002</v>
      </c>
      <c r="D70" s="172">
        <f t="shared" si="46"/>
        <v>2.9568000000000007E-3</v>
      </c>
      <c r="E70" s="150"/>
      <c r="F70" s="150"/>
      <c r="G70" s="173">
        <f t="shared" si="47"/>
        <v>1</v>
      </c>
      <c r="H70" s="173">
        <f t="shared" si="44"/>
        <v>1.3440000000000001E-3</v>
      </c>
      <c r="I70" s="173">
        <f t="shared" si="47"/>
        <v>1</v>
      </c>
      <c r="J70" s="174" t="s">
        <v>236</v>
      </c>
      <c r="K70" s="173">
        <f t="shared" si="72"/>
        <v>1.3440000000000001E-3</v>
      </c>
      <c r="L70" s="173">
        <f t="shared" ref="L70" si="86">L55</f>
        <v>1</v>
      </c>
      <c r="M70" s="174" t="s">
        <v>236</v>
      </c>
      <c r="N70" s="173">
        <f t="shared" si="74"/>
        <v>1.3440000000000001E-3</v>
      </c>
      <c r="O70" s="174" t="s">
        <v>236</v>
      </c>
      <c r="P70" s="174" t="s">
        <v>236</v>
      </c>
      <c r="Q70" s="174" t="s">
        <v>236</v>
      </c>
      <c r="R70" s="173">
        <f t="shared" ref="R70" si="87">R55</f>
        <v>1.25</v>
      </c>
      <c r="S70" s="174" t="s">
        <v>236</v>
      </c>
      <c r="T70" s="173">
        <f t="shared" si="55"/>
        <v>1.6800000000000001E-3</v>
      </c>
      <c r="U70" s="173">
        <f t="shared" ref="U70" si="88">U55</f>
        <v>0.25</v>
      </c>
      <c r="V70" s="174" t="s">
        <v>236</v>
      </c>
      <c r="W70" s="173">
        <f t="shared" si="57"/>
        <v>3.3600000000000004E-4</v>
      </c>
      <c r="X70" s="174" t="s">
        <v>236</v>
      </c>
      <c r="Y70" s="174" t="s">
        <v>236</v>
      </c>
      <c r="Z70" s="174" t="s">
        <v>236</v>
      </c>
      <c r="AA70" s="173">
        <f t="shared" ref="AA70" si="89">AA55</f>
        <v>0.75</v>
      </c>
      <c r="AB70" s="174" t="s">
        <v>236</v>
      </c>
      <c r="AC70" s="173">
        <f t="shared" si="59"/>
        <v>1.0080000000000002E-3</v>
      </c>
      <c r="AE70" s="19" t="s">
        <v>7</v>
      </c>
      <c r="AF70" s="28">
        <f>QSTBKT!C51</f>
        <v>4</v>
      </c>
      <c r="AG70" s="29">
        <v>1.4E-2</v>
      </c>
      <c r="AH70" s="28">
        <v>24</v>
      </c>
      <c r="AI70" s="29">
        <f>AF70*AG70*AH70/1000</f>
        <v>1.3440000000000001E-3</v>
      </c>
    </row>
    <row r="71" spans="1:35" ht="18.75">
      <c r="A71" s="152" t="s">
        <v>3</v>
      </c>
      <c r="B71" s="146">
        <f t="shared" si="29"/>
        <v>514</v>
      </c>
      <c r="C71" s="263">
        <f>E71+G71+I71</f>
        <v>814</v>
      </c>
      <c r="D71" s="147">
        <f t="shared" si="46"/>
        <v>0.61050000000000004</v>
      </c>
      <c r="E71" s="150"/>
      <c r="F71" s="150"/>
      <c r="G71" s="261">
        <v>300</v>
      </c>
      <c r="H71" s="148">
        <f t="shared" si="44"/>
        <v>0.22500000000000001</v>
      </c>
      <c r="I71" s="261">
        <v>514</v>
      </c>
      <c r="J71" s="174" t="s">
        <v>236</v>
      </c>
      <c r="K71" s="148">
        <f t="shared" si="72"/>
        <v>0.38550000000000001</v>
      </c>
      <c r="L71" s="261">
        <v>514</v>
      </c>
      <c r="M71" s="174" t="s">
        <v>236</v>
      </c>
      <c r="N71" s="148">
        <f t="shared" si="74"/>
        <v>0.38550000000000001</v>
      </c>
      <c r="O71" s="174" t="s">
        <v>236</v>
      </c>
      <c r="P71" s="174" t="s">
        <v>236</v>
      </c>
      <c r="Q71" s="174" t="s">
        <v>236</v>
      </c>
      <c r="R71" s="261">
        <v>514</v>
      </c>
      <c r="S71" s="174" t="s">
        <v>236</v>
      </c>
      <c r="T71" s="148">
        <f t="shared" si="55"/>
        <v>0.38550000000000001</v>
      </c>
      <c r="U71" s="173">
        <f>E71+R71-L71</f>
        <v>0</v>
      </c>
      <c r="V71" s="174" t="s">
        <v>236</v>
      </c>
      <c r="W71" s="148">
        <f t="shared" si="57"/>
        <v>0</v>
      </c>
      <c r="X71" s="174" t="s">
        <v>236</v>
      </c>
      <c r="Y71" s="174" t="s">
        <v>236</v>
      </c>
      <c r="Z71" s="174" t="s">
        <v>236</v>
      </c>
      <c r="AA71" s="263">
        <f>I71+G71-R71</f>
        <v>300</v>
      </c>
      <c r="AB71" s="174" t="s">
        <v>236</v>
      </c>
      <c r="AC71" s="148">
        <f t="shared" si="59"/>
        <v>0.22500000000000001</v>
      </c>
      <c r="AE71" s="32" t="s">
        <v>3</v>
      </c>
      <c r="AF71" s="21">
        <f>QSTBKT!H51</f>
        <v>514</v>
      </c>
      <c r="AG71" s="22">
        <v>0.75</v>
      </c>
      <c r="AH71" s="26"/>
      <c r="AI71" s="25">
        <f>0.75/1000</f>
        <v>7.5000000000000002E-4</v>
      </c>
    </row>
    <row r="72" spans="1:35" ht="20.25">
      <c r="A72" s="135"/>
      <c r="B72" s="132"/>
      <c r="C72" s="133"/>
      <c r="D72" s="134"/>
      <c r="E72" s="133"/>
      <c r="F72" s="133"/>
      <c r="G72" s="133"/>
      <c r="H72" s="131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E72" s="362" t="s">
        <v>315</v>
      </c>
      <c r="AF72" s="362"/>
      <c r="AG72" s="362"/>
      <c r="AH72" s="362"/>
      <c r="AI72" s="362"/>
    </row>
    <row r="73" spans="1:35" ht="18.75">
      <c r="A73" s="153" t="s">
        <v>316</v>
      </c>
      <c r="B73" s="154"/>
      <c r="C73" s="158"/>
      <c r="D73" s="155">
        <f>D74+D75+D80+D86</f>
        <v>4.1448768000000005</v>
      </c>
      <c r="E73" s="153"/>
      <c r="F73" s="153"/>
      <c r="G73" s="153"/>
      <c r="H73" s="155">
        <f>H74+H75+H80+H86</f>
        <v>2.7097439999999997</v>
      </c>
      <c r="I73" s="153"/>
      <c r="J73" s="153"/>
      <c r="K73" s="155">
        <f>K74+K75+K80+K86</f>
        <v>1.016184</v>
      </c>
      <c r="L73" s="153"/>
      <c r="M73" s="153"/>
      <c r="N73" s="155">
        <f>N74+N75+N80+N86</f>
        <v>1.016184</v>
      </c>
      <c r="O73" s="153"/>
      <c r="P73" s="153"/>
      <c r="Q73" s="153"/>
      <c r="R73" s="153"/>
      <c r="S73" s="153"/>
      <c r="T73" s="155">
        <f>T74+T75+T80+T86</f>
        <v>2.9019299999999997</v>
      </c>
      <c r="U73" s="153"/>
      <c r="V73" s="153"/>
      <c r="W73" s="155">
        <f>W74+W75+W80+W86</f>
        <v>1.8857459999999997</v>
      </c>
      <c r="X73" s="153"/>
      <c r="Y73" s="153"/>
      <c r="Z73" s="153"/>
      <c r="AA73" s="153"/>
      <c r="AB73" s="153"/>
      <c r="AC73" s="155">
        <f>AC74+AC75+AC80+AC86</f>
        <v>0.82399800000000012</v>
      </c>
      <c r="AE73" s="20"/>
      <c r="AF73" s="19" t="s">
        <v>44</v>
      </c>
      <c r="AG73" s="24" t="s">
        <v>45</v>
      </c>
      <c r="AH73" s="31" t="s">
        <v>46</v>
      </c>
      <c r="AI73" s="24" t="s">
        <v>47</v>
      </c>
    </row>
    <row r="74" spans="1:35" ht="18.75">
      <c r="A74" s="153" t="s">
        <v>125</v>
      </c>
      <c r="B74" s="154">
        <f t="shared" si="29"/>
        <v>0</v>
      </c>
      <c r="C74" s="161">
        <f>C59</f>
        <v>2.2999999999999998</v>
      </c>
      <c r="D74" s="175">
        <f>C74*AI74</f>
        <v>0</v>
      </c>
      <c r="E74" s="158"/>
      <c r="F74" s="158"/>
      <c r="G74" s="161">
        <f t="shared" ref="G74:G85" si="90">G59</f>
        <v>1.5</v>
      </c>
      <c r="H74" s="161">
        <f t="shared" ref="H74:H85" si="91">G74*AI74</f>
        <v>0</v>
      </c>
      <c r="I74" s="161">
        <f t="shared" ref="I74:I85" si="92">I59</f>
        <v>0.3</v>
      </c>
      <c r="J74" s="176" t="s">
        <v>236</v>
      </c>
      <c r="K74" s="161">
        <f t="shared" ref="K74:K85" si="93">I74*AI74</f>
        <v>0</v>
      </c>
      <c r="L74" s="161">
        <f t="shared" ref="L74:L85" si="94">L59</f>
        <v>0.3</v>
      </c>
      <c r="M74" s="176" t="s">
        <v>236</v>
      </c>
      <c r="N74" s="161">
        <f t="shared" ref="N74:N85" si="95">L74*AI74</f>
        <v>0</v>
      </c>
      <c r="O74" s="176" t="s">
        <v>236</v>
      </c>
      <c r="P74" s="176" t="s">
        <v>236</v>
      </c>
      <c r="Q74" s="176" t="s">
        <v>236</v>
      </c>
      <c r="R74" s="161">
        <f t="shared" ref="R74:R85" si="96">R59</f>
        <v>1.25</v>
      </c>
      <c r="S74" s="176" t="s">
        <v>236</v>
      </c>
      <c r="T74" s="161">
        <f t="shared" ref="T74:T85" si="97">R74*AI74</f>
        <v>0</v>
      </c>
      <c r="U74" s="161">
        <f t="shared" ref="U74:U85" si="98">U59</f>
        <v>0.95</v>
      </c>
      <c r="V74" s="176" t="s">
        <v>236</v>
      </c>
      <c r="W74" s="161">
        <f t="shared" ref="W74:W85" si="99">U74*AI74</f>
        <v>0</v>
      </c>
      <c r="X74" s="176" t="s">
        <v>236</v>
      </c>
      <c r="Y74" s="176" t="s">
        <v>236</v>
      </c>
      <c r="Z74" s="176" t="s">
        <v>236</v>
      </c>
      <c r="AA74" s="161">
        <f t="shared" ref="AA74:AA85" si="100">AA59</f>
        <v>0.55000000000000004</v>
      </c>
      <c r="AB74" s="176" t="s">
        <v>236</v>
      </c>
      <c r="AC74" s="161">
        <f t="shared" ref="AC74:AC85" si="101">AA74*AI74</f>
        <v>0</v>
      </c>
      <c r="AE74" s="19" t="s">
        <v>60</v>
      </c>
      <c r="AF74" s="28">
        <f>QSTBKT!M62</f>
        <v>0</v>
      </c>
      <c r="AG74" s="29">
        <v>0.17</v>
      </c>
      <c r="AH74" s="28">
        <v>1200</v>
      </c>
      <c r="AI74" s="29">
        <f>AF74*AG74*AH74/1000</f>
        <v>0</v>
      </c>
    </row>
    <row r="75" spans="1:35" ht="18.75">
      <c r="A75" s="153" t="s">
        <v>135</v>
      </c>
      <c r="B75" s="154"/>
      <c r="C75" s="161"/>
      <c r="D75" s="155">
        <f>D76+D77+D78+D79</f>
        <v>0.504</v>
      </c>
      <c r="E75" s="153"/>
      <c r="F75" s="153"/>
      <c r="G75" s="156"/>
      <c r="H75" s="155">
        <f>H76+H77+H78+H79</f>
        <v>0.42000000000000004</v>
      </c>
      <c r="I75" s="156"/>
      <c r="J75" s="157" t="s">
        <v>236</v>
      </c>
      <c r="K75" s="155">
        <f>K76+K77+K78+K79</f>
        <v>3.3600000000000005E-2</v>
      </c>
      <c r="L75" s="156"/>
      <c r="M75" s="157" t="s">
        <v>236</v>
      </c>
      <c r="N75" s="155">
        <f>N76+N77+N78+N79</f>
        <v>3.3600000000000005E-2</v>
      </c>
      <c r="O75" s="157" t="s">
        <v>236</v>
      </c>
      <c r="P75" s="157" t="s">
        <v>236</v>
      </c>
      <c r="Q75" s="157" t="s">
        <v>236</v>
      </c>
      <c r="R75" s="156"/>
      <c r="S75" s="157" t="s">
        <v>236</v>
      </c>
      <c r="T75" s="155">
        <f>T76+T77+T78+T79</f>
        <v>0.33600000000000002</v>
      </c>
      <c r="U75" s="156"/>
      <c r="V75" s="157" t="s">
        <v>236</v>
      </c>
      <c r="W75" s="155">
        <f>W76+W77+W78+W79</f>
        <v>0.3024</v>
      </c>
      <c r="X75" s="157" t="s">
        <v>236</v>
      </c>
      <c r="Y75" s="157" t="s">
        <v>236</v>
      </c>
      <c r="Z75" s="157" t="s">
        <v>236</v>
      </c>
      <c r="AA75" s="156"/>
      <c r="AB75" s="157" t="s">
        <v>236</v>
      </c>
      <c r="AC75" s="155">
        <f>AC76+AC77+AC78+AC79</f>
        <v>0.11760000000000004</v>
      </c>
      <c r="AE75" s="358" t="s">
        <v>68</v>
      </c>
      <c r="AF75" s="359"/>
      <c r="AG75" s="359"/>
      <c r="AH75" s="360"/>
      <c r="AI75" s="30"/>
    </row>
    <row r="76" spans="1:35" ht="18.75">
      <c r="A76" s="158" t="s">
        <v>126</v>
      </c>
      <c r="B76" s="154">
        <f>AF79</f>
        <v>0</v>
      </c>
      <c r="C76" s="161">
        <f t="shared" ref="C76:C85" si="102">C61</f>
        <v>1.35</v>
      </c>
      <c r="D76" s="175">
        <f t="shared" ref="D76:D86" si="103">C76*AI76</f>
        <v>0</v>
      </c>
      <c r="E76" s="158"/>
      <c r="F76" s="158"/>
      <c r="G76" s="161">
        <f t="shared" si="90"/>
        <v>1.25</v>
      </c>
      <c r="H76" s="161">
        <f t="shared" si="91"/>
        <v>0</v>
      </c>
      <c r="I76" s="161">
        <f t="shared" si="92"/>
        <v>0.1</v>
      </c>
      <c r="J76" s="176" t="s">
        <v>236</v>
      </c>
      <c r="K76" s="161">
        <f t="shared" si="93"/>
        <v>0</v>
      </c>
      <c r="L76" s="161">
        <f t="shared" si="94"/>
        <v>0</v>
      </c>
      <c r="M76" s="176" t="s">
        <v>236</v>
      </c>
      <c r="N76" s="161">
        <f t="shared" si="95"/>
        <v>0</v>
      </c>
      <c r="O76" s="176" t="s">
        <v>236</v>
      </c>
      <c r="P76" s="176" t="s">
        <v>236</v>
      </c>
      <c r="Q76" s="176" t="s">
        <v>236</v>
      </c>
      <c r="R76" s="161">
        <f t="shared" si="96"/>
        <v>1</v>
      </c>
      <c r="S76" s="176" t="s">
        <v>236</v>
      </c>
      <c r="T76" s="161">
        <f t="shared" si="97"/>
        <v>0</v>
      </c>
      <c r="U76" s="161">
        <f t="shared" si="98"/>
        <v>1</v>
      </c>
      <c r="V76" s="176" t="s">
        <v>236</v>
      </c>
      <c r="W76" s="161">
        <f t="shared" si="99"/>
        <v>0</v>
      </c>
      <c r="X76" s="176" t="s">
        <v>236</v>
      </c>
      <c r="Y76" s="176" t="s">
        <v>236</v>
      </c>
      <c r="Z76" s="176" t="s">
        <v>236</v>
      </c>
      <c r="AA76" s="161">
        <f t="shared" si="100"/>
        <v>0.35000000000000009</v>
      </c>
      <c r="AB76" s="176" t="s">
        <v>236</v>
      </c>
      <c r="AC76" s="161">
        <f t="shared" si="101"/>
        <v>0</v>
      </c>
      <c r="AE76" s="19" t="s">
        <v>58</v>
      </c>
      <c r="AF76" s="28">
        <f>QSTBKT!K62</f>
        <v>0</v>
      </c>
      <c r="AG76" s="29">
        <v>23</v>
      </c>
      <c r="AH76" s="28">
        <v>80</v>
      </c>
      <c r="AI76" s="29">
        <f>AH76*AG76*AF76/1000</f>
        <v>0</v>
      </c>
    </row>
    <row r="77" spans="1:35" ht="18.75">
      <c r="A77" s="159" t="s">
        <v>127</v>
      </c>
      <c r="B77" s="154">
        <f>AF76</f>
        <v>0</v>
      </c>
      <c r="C77" s="161">
        <f t="shared" si="102"/>
        <v>1.5</v>
      </c>
      <c r="D77" s="175">
        <f t="shared" si="103"/>
        <v>0</v>
      </c>
      <c r="E77" s="158"/>
      <c r="F77" s="158"/>
      <c r="G77" s="161">
        <f t="shared" si="90"/>
        <v>1.25</v>
      </c>
      <c r="H77" s="161">
        <f t="shared" si="91"/>
        <v>0</v>
      </c>
      <c r="I77" s="161">
        <f t="shared" si="92"/>
        <v>0.1</v>
      </c>
      <c r="J77" s="176" t="s">
        <v>236</v>
      </c>
      <c r="K77" s="161">
        <f t="shared" si="93"/>
        <v>0</v>
      </c>
      <c r="L77" s="161">
        <f t="shared" si="94"/>
        <v>0.1</v>
      </c>
      <c r="M77" s="176" t="s">
        <v>236</v>
      </c>
      <c r="N77" s="161">
        <f t="shared" si="95"/>
        <v>0</v>
      </c>
      <c r="O77" s="176" t="s">
        <v>236</v>
      </c>
      <c r="P77" s="176" t="s">
        <v>236</v>
      </c>
      <c r="Q77" s="176" t="s">
        <v>236</v>
      </c>
      <c r="R77" s="161">
        <f t="shared" si="96"/>
        <v>1</v>
      </c>
      <c r="S77" s="176" t="s">
        <v>236</v>
      </c>
      <c r="T77" s="161">
        <f t="shared" si="97"/>
        <v>0</v>
      </c>
      <c r="U77" s="161">
        <f t="shared" si="98"/>
        <v>0.9</v>
      </c>
      <c r="V77" s="176" t="s">
        <v>236</v>
      </c>
      <c r="W77" s="161">
        <f t="shared" si="99"/>
        <v>0</v>
      </c>
      <c r="X77" s="176" t="s">
        <v>236</v>
      </c>
      <c r="Y77" s="176" t="s">
        <v>236</v>
      </c>
      <c r="Z77" s="176" t="s">
        <v>236</v>
      </c>
      <c r="AA77" s="161">
        <f t="shared" si="100"/>
        <v>0.35000000000000009</v>
      </c>
      <c r="AB77" s="176" t="s">
        <v>236</v>
      </c>
      <c r="AC77" s="161">
        <f t="shared" si="101"/>
        <v>0</v>
      </c>
      <c r="AE77" s="19" t="s">
        <v>57</v>
      </c>
      <c r="AF77" s="28">
        <f>QSTBKT!J62</f>
        <v>0</v>
      </c>
      <c r="AG77" s="29">
        <v>5</v>
      </c>
      <c r="AH77" s="28">
        <v>100</v>
      </c>
      <c r="AI77" s="29">
        <f>AH77*AG77*AF77/1000</f>
        <v>0</v>
      </c>
    </row>
    <row r="78" spans="1:35" ht="18.75">
      <c r="A78" s="159" t="s">
        <v>128</v>
      </c>
      <c r="B78" s="154">
        <f>AF77</f>
        <v>0</v>
      </c>
      <c r="C78" s="161">
        <f t="shared" si="102"/>
        <v>1.5</v>
      </c>
      <c r="D78" s="175">
        <f t="shared" si="103"/>
        <v>0.504</v>
      </c>
      <c r="E78" s="158"/>
      <c r="F78" s="158"/>
      <c r="G78" s="161">
        <f t="shared" si="90"/>
        <v>1.25</v>
      </c>
      <c r="H78" s="161">
        <f t="shared" si="91"/>
        <v>0.42000000000000004</v>
      </c>
      <c r="I78" s="161">
        <f t="shared" si="92"/>
        <v>0.1</v>
      </c>
      <c r="J78" s="176" t="s">
        <v>236</v>
      </c>
      <c r="K78" s="161">
        <f t="shared" si="93"/>
        <v>3.3600000000000005E-2</v>
      </c>
      <c r="L78" s="161">
        <f t="shared" si="94"/>
        <v>0.1</v>
      </c>
      <c r="M78" s="176" t="s">
        <v>236</v>
      </c>
      <c r="N78" s="161">
        <f t="shared" si="95"/>
        <v>3.3600000000000005E-2</v>
      </c>
      <c r="O78" s="176" t="s">
        <v>236</v>
      </c>
      <c r="P78" s="176" t="s">
        <v>236</v>
      </c>
      <c r="Q78" s="176" t="s">
        <v>236</v>
      </c>
      <c r="R78" s="161">
        <f t="shared" si="96"/>
        <v>1</v>
      </c>
      <c r="S78" s="176" t="s">
        <v>236</v>
      </c>
      <c r="T78" s="161">
        <f t="shared" si="97"/>
        <v>0.33600000000000002</v>
      </c>
      <c r="U78" s="161">
        <f t="shared" si="98"/>
        <v>0.9</v>
      </c>
      <c r="V78" s="176" t="s">
        <v>236</v>
      </c>
      <c r="W78" s="161">
        <f t="shared" si="99"/>
        <v>0.3024</v>
      </c>
      <c r="X78" s="176" t="s">
        <v>236</v>
      </c>
      <c r="Y78" s="176" t="s">
        <v>236</v>
      </c>
      <c r="Z78" s="176" t="s">
        <v>236</v>
      </c>
      <c r="AA78" s="161">
        <f t="shared" si="100"/>
        <v>0.35000000000000009</v>
      </c>
      <c r="AB78" s="176" t="s">
        <v>236</v>
      </c>
      <c r="AC78" s="161">
        <f t="shared" si="101"/>
        <v>0.11760000000000004</v>
      </c>
      <c r="AE78" s="19" t="s">
        <v>56</v>
      </c>
      <c r="AF78" s="28">
        <f>QSTBKT!I62</f>
        <v>2</v>
      </c>
      <c r="AG78" s="29">
        <v>2.1</v>
      </c>
      <c r="AH78" s="28">
        <v>80</v>
      </c>
      <c r="AI78" s="29">
        <f>AH78*AG78*AF78/1000</f>
        <v>0.33600000000000002</v>
      </c>
    </row>
    <row r="79" spans="1:35" ht="18.75">
      <c r="A79" s="159" t="s">
        <v>129</v>
      </c>
      <c r="B79" s="154">
        <f>AF78</f>
        <v>2</v>
      </c>
      <c r="C79" s="161">
        <f t="shared" si="102"/>
        <v>1.35</v>
      </c>
      <c r="D79" s="175">
        <f t="shared" si="103"/>
        <v>0</v>
      </c>
      <c r="E79" s="158"/>
      <c r="F79" s="158"/>
      <c r="G79" s="161">
        <f t="shared" si="90"/>
        <v>1</v>
      </c>
      <c r="H79" s="161">
        <f t="shared" si="91"/>
        <v>0</v>
      </c>
      <c r="I79" s="161">
        <f t="shared" si="92"/>
        <v>0.2</v>
      </c>
      <c r="J79" s="176" t="s">
        <v>236</v>
      </c>
      <c r="K79" s="161">
        <f t="shared" si="93"/>
        <v>0</v>
      </c>
      <c r="L79" s="161">
        <f t="shared" si="94"/>
        <v>0.2</v>
      </c>
      <c r="M79" s="176" t="s">
        <v>236</v>
      </c>
      <c r="N79" s="161">
        <f t="shared" si="95"/>
        <v>0</v>
      </c>
      <c r="O79" s="176" t="s">
        <v>236</v>
      </c>
      <c r="P79" s="176" t="s">
        <v>236</v>
      </c>
      <c r="Q79" s="176" t="s">
        <v>236</v>
      </c>
      <c r="R79" s="161">
        <f t="shared" si="96"/>
        <v>1</v>
      </c>
      <c r="S79" s="176" t="s">
        <v>236</v>
      </c>
      <c r="T79" s="161">
        <f t="shared" si="97"/>
        <v>0</v>
      </c>
      <c r="U79" s="161">
        <f t="shared" si="98"/>
        <v>0.8</v>
      </c>
      <c r="V79" s="176" t="s">
        <v>236</v>
      </c>
      <c r="W79" s="161">
        <f t="shared" si="99"/>
        <v>0</v>
      </c>
      <c r="X79" s="176" t="s">
        <v>236</v>
      </c>
      <c r="Y79" s="176" t="s">
        <v>236</v>
      </c>
      <c r="Z79" s="176" t="s">
        <v>236</v>
      </c>
      <c r="AA79" s="161">
        <f t="shared" si="100"/>
        <v>0.19999999999999996</v>
      </c>
      <c r="AB79" s="176" t="s">
        <v>236</v>
      </c>
      <c r="AC79" s="161">
        <f t="shared" si="101"/>
        <v>0</v>
      </c>
      <c r="AE79" s="19" t="s">
        <v>12</v>
      </c>
      <c r="AF79" s="28">
        <f>QSTBKT!L62</f>
        <v>0</v>
      </c>
      <c r="AG79" s="29">
        <v>16.5</v>
      </c>
      <c r="AH79" s="28">
        <v>30</v>
      </c>
      <c r="AI79" s="29">
        <f>AH79*AG79*AF79/1000</f>
        <v>0</v>
      </c>
    </row>
    <row r="80" spans="1:35" ht="18.75">
      <c r="A80" s="160" t="s">
        <v>136</v>
      </c>
      <c r="B80" s="154"/>
      <c r="C80" s="161"/>
      <c r="D80" s="155">
        <f>D81+D82+D83+D84+D85</f>
        <v>3.2283768000000004</v>
      </c>
      <c r="E80" s="153"/>
      <c r="F80" s="153"/>
      <c r="G80" s="156"/>
      <c r="H80" s="155">
        <f>H81+H82+H83+H84+H85</f>
        <v>2.1397439999999999</v>
      </c>
      <c r="I80" s="156"/>
      <c r="J80" s="157" t="s">
        <v>236</v>
      </c>
      <c r="K80" s="155">
        <f>K81+K82+K83+K84+K85</f>
        <v>0.72008400000000006</v>
      </c>
      <c r="L80" s="156"/>
      <c r="M80" s="157" t="s">
        <v>236</v>
      </c>
      <c r="N80" s="155">
        <f>N81+N82+N83+N84+N85</f>
        <v>0.72008400000000006</v>
      </c>
      <c r="O80" s="157" t="s">
        <v>236</v>
      </c>
      <c r="P80" s="157" t="s">
        <v>236</v>
      </c>
      <c r="Q80" s="157" t="s">
        <v>236</v>
      </c>
      <c r="R80" s="156"/>
      <c r="S80" s="157" t="s">
        <v>236</v>
      </c>
      <c r="T80" s="155">
        <f>T81+T82+T83+T84+T85</f>
        <v>2.3034299999999996</v>
      </c>
      <c r="U80" s="156"/>
      <c r="V80" s="157" t="s">
        <v>236</v>
      </c>
      <c r="W80" s="155">
        <f>W81+W82+W83+W84+W85</f>
        <v>1.5833459999999997</v>
      </c>
      <c r="X80" s="157" t="s">
        <v>236</v>
      </c>
      <c r="Y80" s="157" t="s">
        <v>236</v>
      </c>
      <c r="Z80" s="157" t="s">
        <v>236</v>
      </c>
      <c r="AA80" s="156"/>
      <c r="AB80" s="157" t="s">
        <v>236</v>
      </c>
      <c r="AC80" s="155">
        <f>AC81+AC82+AC83+AC84+AC85</f>
        <v>0.55639800000000006</v>
      </c>
      <c r="AE80" s="361" t="s">
        <v>54</v>
      </c>
      <c r="AF80" s="361"/>
      <c r="AG80" s="361"/>
      <c r="AH80" s="361"/>
      <c r="AI80" s="30"/>
    </row>
    <row r="81" spans="1:35" ht="18.75">
      <c r="A81" s="159" t="s">
        <v>130</v>
      </c>
      <c r="B81" s="154">
        <f t="shared" si="29"/>
        <v>18</v>
      </c>
      <c r="C81" s="161">
        <f t="shared" si="102"/>
        <v>1.78</v>
      </c>
      <c r="D81" s="175">
        <f t="shared" si="103"/>
        <v>2.1146400000000001</v>
      </c>
      <c r="E81" s="161"/>
      <c r="F81" s="161"/>
      <c r="G81" s="161">
        <f t="shared" si="90"/>
        <v>1.25</v>
      </c>
      <c r="H81" s="161">
        <f t="shared" si="91"/>
        <v>1.4849999999999999</v>
      </c>
      <c r="I81" s="161">
        <f t="shared" si="92"/>
        <v>0.33</v>
      </c>
      <c r="J81" s="176" t="s">
        <v>236</v>
      </c>
      <c r="K81" s="161">
        <f t="shared" si="93"/>
        <v>0.39204</v>
      </c>
      <c r="L81" s="161">
        <f t="shared" si="94"/>
        <v>0.33</v>
      </c>
      <c r="M81" s="176" t="s">
        <v>236</v>
      </c>
      <c r="N81" s="161">
        <f t="shared" si="95"/>
        <v>0.39204</v>
      </c>
      <c r="O81" s="176" t="s">
        <v>236</v>
      </c>
      <c r="P81" s="176" t="s">
        <v>236</v>
      </c>
      <c r="Q81" s="176" t="s">
        <v>236</v>
      </c>
      <c r="R81" s="161">
        <f t="shared" si="96"/>
        <v>1.25</v>
      </c>
      <c r="S81" s="176" t="s">
        <v>236</v>
      </c>
      <c r="T81" s="161">
        <f t="shared" si="97"/>
        <v>1.4849999999999999</v>
      </c>
      <c r="U81" s="161">
        <f t="shared" si="98"/>
        <v>0.91999999999999993</v>
      </c>
      <c r="V81" s="176" t="s">
        <v>236</v>
      </c>
      <c r="W81" s="161">
        <f t="shared" si="99"/>
        <v>1.0929599999999999</v>
      </c>
      <c r="X81" s="176" t="s">
        <v>236</v>
      </c>
      <c r="Y81" s="176" t="s">
        <v>236</v>
      </c>
      <c r="Z81" s="176" t="s">
        <v>236</v>
      </c>
      <c r="AA81" s="161">
        <f t="shared" si="100"/>
        <v>0.33000000000000007</v>
      </c>
      <c r="AB81" s="176" t="s">
        <v>236</v>
      </c>
      <c r="AC81" s="161">
        <f t="shared" si="101"/>
        <v>0.39204000000000006</v>
      </c>
      <c r="AE81" s="19" t="s">
        <v>52</v>
      </c>
      <c r="AF81" s="28">
        <f>QSTBKT!G62</f>
        <v>18</v>
      </c>
      <c r="AG81" s="29">
        <v>5.5</v>
      </c>
      <c r="AH81" s="28">
        <v>12</v>
      </c>
      <c r="AI81" s="29">
        <f>AF81*AG81*AH81/1000</f>
        <v>1.1879999999999999</v>
      </c>
    </row>
    <row r="82" spans="1:35" ht="18.75">
      <c r="A82" s="159" t="s">
        <v>131</v>
      </c>
      <c r="B82" s="154">
        <f t="shared" si="29"/>
        <v>2</v>
      </c>
      <c r="C82" s="161">
        <f t="shared" si="102"/>
        <v>1.7</v>
      </c>
      <c r="D82" s="175">
        <f t="shared" si="103"/>
        <v>0.13464000000000001</v>
      </c>
      <c r="E82" s="158"/>
      <c r="F82" s="158"/>
      <c r="G82" s="161">
        <f t="shared" si="90"/>
        <v>1</v>
      </c>
      <c r="H82" s="161">
        <f t="shared" si="91"/>
        <v>7.9200000000000007E-2</v>
      </c>
      <c r="I82" s="161">
        <f t="shared" si="92"/>
        <v>0.5</v>
      </c>
      <c r="J82" s="176" t="s">
        <v>236</v>
      </c>
      <c r="K82" s="161">
        <f t="shared" si="93"/>
        <v>3.9600000000000003E-2</v>
      </c>
      <c r="L82" s="161">
        <f t="shared" si="94"/>
        <v>0.5</v>
      </c>
      <c r="M82" s="176" t="s">
        <v>236</v>
      </c>
      <c r="N82" s="161">
        <f t="shared" si="95"/>
        <v>3.9600000000000003E-2</v>
      </c>
      <c r="O82" s="176" t="s">
        <v>236</v>
      </c>
      <c r="P82" s="176" t="s">
        <v>236</v>
      </c>
      <c r="Q82" s="176" t="s">
        <v>236</v>
      </c>
      <c r="R82" s="161">
        <f t="shared" si="96"/>
        <v>1.25</v>
      </c>
      <c r="S82" s="176" t="s">
        <v>236</v>
      </c>
      <c r="T82" s="161">
        <f t="shared" si="97"/>
        <v>9.9000000000000005E-2</v>
      </c>
      <c r="U82" s="161">
        <f t="shared" si="98"/>
        <v>0.75</v>
      </c>
      <c r="V82" s="176" t="s">
        <v>236</v>
      </c>
      <c r="W82" s="161">
        <f t="shared" si="99"/>
        <v>5.9400000000000008E-2</v>
      </c>
      <c r="X82" s="176" t="s">
        <v>236</v>
      </c>
      <c r="Y82" s="176" t="s">
        <v>236</v>
      </c>
      <c r="Z82" s="176" t="s">
        <v>236</v>
      </c>
      <c r="AA82" s="161">
        <f t="shared" si="100"/>
        <v>0.25</v>
      </c>
      <c r="AB82" s="176" t="s">
        <v>236</v>
      </c>
      <c r="AC82" s="161">
        <f t="shared" si="101"/>
        <v>1.9800000000000002E-2</v>
      </c>
      <c r="AE82" s="19" t="s">
        <v>10</v>
      </c>
      <c r="AF82" s="28">
        <f>QSTBKT!F62</f>
        <v>2</v>
      </c>
      <c r="AG82" s="29">
        <v>3.3000000000000002E-2</v>
      </c>
      <c r="AH82" s="28">
        <v>1200</v>
      </c>
      <c r="AI82" s="29">
        <f>AF82*AG82*AH82/1000</f>
        <v>7.9200000000000007E-2</v>
      </c>
    </row>
    <row r="83" spans="1:35" ht="18.75">
      <c r="A83" s="159" t="s">
        <v>132</v>
      </c>
      <c r="B83" s="154">
        <f t="shared" si="29"/>
        <v>9</v>
      </c>
      <c r="C83" s="161">
        <f t="shared" si="102"/>
        <v>1.7</v>
      </c>
      <c r="D83" s="175">
        <f t="shared" si="103"/>
        <v>0.20195999999999997</v>
      </c>
      <c r="E83" s="158"/>
      <c r="F83" s="158"/>
      <c r="G83" s="161">
        <f t="shared" si="90"/>
        <v>1</v>
      </c>
      <c r="H83" s="161">
        <f t="shared" si="91"/>
        <v>0.11879999999999999</v>
      </c>
      <c r="I83" s="161">
        <f t="shared" si="92"/>
        <v>0.5</v>
      </c>
      <c r="J83" s="176" t="s">
        <v>236</v>
      </c>
      <c r="K83" s="161">
        <f t="shared" si="93"/>
        <v>5.9399999999999994E-2</v>
      </c>
      <c r="L83" s="161">
        <f t="shared" si="94"/>
        <v>0.5</v>
      </c>
      <c r="M83" s="176" t="s">
        <v>236</v>
      </c>
      <c r="N83" s="161">
        <f t="shared" si="95"/>
        <v>5.9399999999999994E-2</v>
      </c>
      <c r="O83" s="176" t="s">
        <v>236</v>
      </c>
      <c r="P83" s="176" t="s">
        <v>236</v>
      </c>
      <c r="Q83" s="176" t="s">
        <v>236</v>
      </c>
      <c r="R83" s="161">
        <f t="shared" si="96"/>
        <v>1.25</v>
      </c>
      <c r="S83" s="176" t="s">
        <v>236</v>
      </c>
      <c r="T83" s="161">
        <f t="shared" si="97"/>
        <v>0.14849999999999999</v>
      </c>
      <c r="U83" s="161">
        <f t="shared" si="98"/>
        <v>0.75</v>
      </c>
      <c r="V83" s="176" t="s">
        <v>236</v>
      </c>
      <c r="W83" s="161">
        <f t="shared" si="99"/>
        <v>8.9099999999999985E-2</v>
      </c>
      <c r="X83" s="176" t="s">
        <v>236</v>
      </c>
      <c r="Y83" s="176" t="s">
        <v>236</v>
      </c>
      <c r="Z83" s="176" t="s">
        <v>236</v>
      </c>
      <c r="AA83" s="161">
        <f t="shared" si="100"/>
        <v>0.25</v>
      </c>
      <c r="AB83" s="176" t="s">
        <v>236</v>
      </c>
      <c r="AC83" s="161">
        <f t="shared" si="101"/>
        <v>2.9699999999999997E-2</v>
      </c>
      <c r="AE83" s="19" t="s">
        <v>9</v>
      </c>
      <c r="AF83" s="28">
        <f>QSTBKT!E62</f>
        <v>9</v>
      </c>
      <c r="AG83" s="29">
        <v>2.1999999999999999E-2</v>
      </c>
      <c r="AH83" s="28">
        <v>600</v>
      </c>
      <c r="AI83" s="29">
        <f>AF83*AG83*AH83/1000</f>
        <v>0.11879999999999999</v>
      </c>
    </row>
    <row r="84" spans="1:35" ht="18.75">
      <c r="A84" s="159" t="s">
        <v>133</v>
      </c>
      <c r="B84" s="154">
        <f t="shared" si="29"/>
        <v>69</v>
      </c>
      <c r="C84" s="161">
        <f t="shared" si="102"/>
        <v>1.7</v>
      </c>
      <c r="D84" s="175">
        <f t="shared" si="103"/>
        <v>0.77417999999999998</v>
      </c>
      <c r="E84" s="158"/>
      <c r="F84" s="158"/>
      <c r="G84" s="161">
        <f t="shared" si="90"/>
        <v>1</v>
      </c>
      <c r="H84" s="161">
        <f t="shared" si="91"/>
        <v>0.45539999999999997</v>
      </c>
      <c r="I84" s="161">
        <f t="shared" si="92"/>
        <v>0.5</v>
      </c>
      <c r="J84" s="176" t="s">
        <v>236</v>
      </c>
      <c r="K84" s="161">
        <f t="shared" si="93"/>
        <v>0.22769999999999999</v>
      </c>
      <c r="L84" s="161">
        <f t="shared" si="94"/>
        <v>0.5</v>
      </c>
      <c r="M84" s="176" t="s">
        <v>236</v>
      </c>
      <c r="N84" s="161">
        <f t="shared" si="95"/>
        <v>0.22769999999999999</v>
      </c>
      <c r="O84" s="176" t="s">
        <v>236</v>
      </c>
      <c r="P84" s="176" t="s">
        <v>236</v>
      </c>
      <c r="Q84" s="176" t="s">
        <v>236</v>
      </c>
      <c r="R84" s="161">
        <f t="shared" si="96"/>
        <v>1.25</v>
      </c>
      <c r="S84" s="176" t="s">
        <v>236</v>
      </c>
      <c r="T84" s="161">
        <f t="shared" si="97"/>
        <v>0.56924999999999992</v>
      </c>
      <c r="U84" s="161">
        <f t="shared" si="98"/>
        <v>0.75</v>
      </c>
      <c r="V84" s="176" t="s">
        <v>236</v>
      </c>
      <c r="W84" s="161">
        <f t="shared" si="99"/>
        <v>0.34154999999999996</v>
      </c>
      <c r="X84" s="176" t="s">
        <v>236</v>
      </c>
      <c r="Y84" s="176" t="s">
        <v>236</v>
      </c>
      <c r="Z84" s="176" t="s">
        <v>236</v>
      </c>
      <c r="AA84" s="161">
        <f t="shared" si="100"/>
        <v>0.25</v>
      </c>
      <c r="AB84" s="176" t="s">
        <v>236</v>
      </c>
      <c r="AC84" s="161">
        <f t="shared" si="101"/>
        <v>0.11384999999999999</v>
      </c>
      <c r="AE84" s="19" t="s">
        <v>8</v>
      </c>
      <c r="AF84" s="28">
        <f>QSTBKT!D62</f>
        <v>69</v>
      </c>
      <c r="AG84" s="29">
        <v>2.1999999999999999E-2</v>
      </c>
      <c r="AH84" s="28">
        <v>300</v>
      </c>
      <c r="AI84" s="29">
        <f>AF84*AG84*AH84/1000</f>
        <v>0.45539999999999997</v>
      </c>
    </row>
    <row r="85" spans="1:35" ht="18.75">
      <c r="A85" s="159" t="s">
        <v>134</v>
      </c>
      <c r="B85" s="154">
        <f t="shared" si="29"/>
        <v>4</v>
      </c>
      <c r="C85" s="161">
        <f t="shared" si="102"/>
        <v>2.2000000000000002</v>
      </c>
      <c r="D85" s="175">
        <f t="shared" si="103"/>
        <v>2.9568000000000007E-3</v>
      </c>
      <c r="E85" s="158"/>
      <c r="F85" s="158"/>
      <c r="G85" s="161">
        <f t="shared" si="90"/>
        <v>1</v>
      </c>
      <c r="H85" s="161">
        <f t="shared" si="91"/>
        <v>1.3440000000000001E-3</v>
      </c>
      <c r="I85" s="161">
        <f t="shared" si="92"/>
        <v>1</v>
      </c>
      <c r="J85" s="176" t="s">
        <v>236</v>
      </c>
      <c r="K85" s="161">
        <f t="shared" si="93"/>
        <v>1.3440000000000001E-3</v>
      </c>
      <c r="L85" s="161">
        <f t="shared" si="94"/>
        <v>1</v>
      </c>
      <c r="M85" s="176" t="s">
        <v>236</v>
      </c>
      <c r="N85" s="161">
        <f t="shared" si="95"/>
        <v>1.3440000000000001E-3</v>
      </c>
      <c r="O85" s="176" t="s">
        <v>236</v>
      </c>
      <c r="P85" s="176" t="s">
        <v>236</v>
      </c>
      <c r="Q85" s="176" t="s">
        <v>236</v>
      </c>
      <c r="R85" s="161">
        <f t="shared" si="96"/>
        <v>1.25</v>
      </c>
      <c r="S85" s="176" t="s">
        <v>236</v>
      </c>
      <c r="T85" s="161">
        <f t="shared" si="97"/>
        <v>1.6800000000000001E-3</v>
      </c>
      <c r="U85" s="161">
        <f t="shared" si="98"/>
        <v>0.25</v>
      </c>
      <c r="V85" s="176" t="s">
        <v>236</v>
      </c>
      <c r="W85" s="161">
        <f t="shared" si="99"/>
        <v>3.3600000000000004E-4</v>
      </c>
      <c r="X85" s="176" t="s">
        <v>236</v>
      </c>
      <c r="Y85" s="176" t="s">
        <v>236</v>
      </c>
      <c r="Z85" s="176" t="s">
        <v>236</v>
      </c>
      <c r="AA85" s="161">
        <f t="shared" si="100"/>
        <v>0.75</v>
      </c>
      <c r="AB85" s="176" t="s">
        <v>236</v>
      </c>
      <c r="AC85" s="161">
        <f t="shared" si="101"/>
        <v>1.0080000000000002E-3</v>
      </c>
      <c r="AE85" s="19" t="s">
        <v>7</v>
      </c>
      <c r="AF85" s="28">
        <f>QSTBKT!C62</f>
        <v>4</v>
      </c>
      <c r="AG85" s="29">
        <v>1.4E-2</v>
      </c>
      <c r="AH85" s="28">
        <v>24</v>
      </c>
      <c r="AI85" s="29">
        <f>AF85*AG85*AH85/1000</f>
        <v>1.3440000000000001E-3</v>
      </c>
    </row>
    <row r="86" spans="1:35" ht="18.75">
      <c r="A86" s="160" t="s">
        <v>3</v>
      </c>
      <c r="B86" s="154">
        <f t="shared" si="29"/>
        <v>350</v>
      </c>
      <c r="C86" s="264">
        <f>E86+G86+I86</f>
        <v>550</v>
      </c>
      <c r="D86" s="155">
        <f t="shared" si="103"/>
        <v>0.41250000000000003</v>
      </c>
      <c r="E86" s="158"/>
      <c r="F86" s="158"/>
      <c r="G86" s="261">
        <v>200</v>
      </c>
      <c r="H86" s="156">
        <f t="shared" ref="H86" si="104">G86*AI86</f>
        <v>0.15</v>
      </c>
      <c r="I86" s="261">
        <v>350</v>
      </c>
      <c r="J86" s="176" t="s">
        <v>236</v>
      </c>
      <c r="K86" s="156">
        <f t="shared" ref="K86" si="105">I86*AI86</f>
        <v>0.26250000000000001</v>
      </c>
      <c r="L86" s="261">
        <v>350</v>
      </c>
      <c r="M86" s="176" t="s">
        <v>236</v>
      </c>
      <c r="N86" s="156">
        <f t="shared" ref="N86" si="106">L86*AI86</f>
        <v>0.26250000000000001</v>
      </c>
      <c r="O86" s="176" t="s">
        <v>236</v>
      </c>
      <c r="P86" s="176" t="s">
        <v>236</v>
      </c>
      <c r="Q86" s="176" t="s">
        <v>236</v>
      </c>
      <c r="R86" s="261">
        <v>350</v>
      </c>
      <c r="S86" s="176" t="s">
        <v>236</v>
      </c>
      <c r="T86" s="156">
        <f t="shared" ref="T86" si="107">R86*AI86</f>
        <v>0.26250000000000001</v>
      </c>
      <c r="U86" s="264">
        <f>E86+R86-L86</f>
        <v>0</v>
      </c>
      <c r="V86" s="176" t="s">
        <v>236</v>
      </c>
      <c r="W86" s="156">
        <f t="shared" ref="W86" si="108">U86*AI86</f>
        <v>0</v>
      </c>
      <c r="X86" s="176" t="s">
        <v>236</v>
      </c>
      <c r="Y86" s="176" t="s">
        <v>236</v>
      </c>
      <c r="Z86" s="176" t="s">
        <v>236</v>
      </c>
      <c r="AA86" s="264">
        <f>I86+G86-R86</f>
        <v>200</v>
      </c>
      <c r="AB86" s="176" t="s">
        <v>236</v>
      </c>
      <c r="AC86" s="156">
        <f t="shared" ref="AC86" si="109">AA86*AI86</f>
        <v>0.15</v>
      </c>
      <c r="AE86" s="32" t="s">
        <v>3</v>
      </c>
      <c r="AF86" s="21">
        <f>QSTBKT!H62</f>
        <v>350</v>
      </c>
      <c r="AG86" s="22">
        <v>0.75</v>
      </c>
      <c r="AH86" s="26"/>
      <c r="AI86" s="25">
        <f>0.75/1000</f>
        <v>7.5000000000000002E-4</v>
      </c>
    </row>
    <row r="87" spans="1:35" ht="20.25">
      <c r="A87" s="135"/>
      <c r="B87" s="132"/>
      <c r="C87" s="133"/>
      <c r="D87" s="134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E87" s="362" t="s">
        <v>74</v>
      </c>
      <c r="AF87" s="362"/>
      <c r="AG87" s="362"/>
      <c r="AH87" s="362"/>
      <c r="AI87" s="362"/>
    </row>
    <row r="88" spans="1:35" ht="18.75">
      <c r="A88" s="162" t="s">
        <v>137</v>
      </c>
      <c r="B88" s="163"/>
      <c r="C88" s="166"/>
      <c r="D88" s="169">
        <f>D28-D43-D58-D73</f>
        <v>17.051762400000001</v>
      </c>
      <c r="E88" s="169"/>
      <c r="F88" s="169"/>
      <c r="G88" s="169"/>
      <c r="H88" s="169">
        <f t="shared" ref="H88:AC88" si="110">H28-H43-H58-H73</f>
        <v>13.650992000000002</v>
      </c>
      <c r="I88" s="169"/>
      <c r="J88" s="169"/>
      <c r="K88" s="169">
        <f t="shared" si="110"/>
        <v>6.4132144000000002</v>
      </c>
      <c r="L88" s="169"/>
      <c r="M88" s="169"/>
      <c r="N88" s="169">
        <f t="shared" si="110"/>
        <v>1.9569819999999991</v>
      </c>
      <c r="O88" s="169"/>
      <c r="P88" s="169"/>
      <c r="Q88" s="169">
        <f t="shared" si="110"/>
        <v>1.5270187999999998</v>
      </c>
      <c r="R88" s="169"/>
      <c r="S88" s="169"/>
      <c r="T88" s="169">
        <f t="shared" si="110"/>
        <v>15.994482400000003</v>
      </c>
      <c r="U88" s="169"/>
      <c r="V88" s="169"/>
      <c r="W88" s="169">
        <f t="shared" si="110"/>
        <v>11.848758000000002</v>
      </c>
      <c r="X88" s="165"/>
      <c r="Y88" s="165"/>
      <c r="Z88" s="169">
        <f t="shared" si="110"/>
        <v>2.6139735999999991</v>
      </c>
      <c r="AA88" s="169"/>
      <c r="AB88" s="169"/>
      <c r="AC88" s="169">
        <f t="shared" si="110"/>
        <v>4.0697240000000017</v>
      </c>
      <c r="AE88" s="20"/>
      <c r="AF88" s="19" t="s">
        <v>44</v>
      </c>
      <c r="AG88" s="24" t="s">
        <v>45</v>
      </c>
      <c r="AH88" s="31" t="s">
        <v>46</v>
      </c>
      <c r="AI88" s="24" t="s">
        <v>47</v>
      </c>
    </row>
    <row r="89" spans="1:35" ht="18.75">
      <c r="A89" s="162" t="s">
        <v>125</v>
      </c>
      <c r="B89" s="163">
        <f t="shared" si="29"/>
        <v>0</v>
      </c>
      <c r="C89" s="177">
        <f>C74</f>
        <v>2.2999999999999998</v>
      </c>
      <c r="D89" s="164">
        <f t="shared" ref="D89:AC89" si="111">D29-D44-D59-D74</f>
        <v>1.4075999999999995</v>
      </c>
      <c r="E89" s="164"/>
      <c r="F89" s="164"/>
      <c r="G89" s="177">
        <f t="shared" ref="G89:G100" si="112">G74</f>
        <v>1.5</v>
      </c>
      <c r="H89" s="164">
        <f t="shared" si="111"/>
        <v>0.91800000000000015</v>
      </c>
      <c r="I89" s="177">
        <f t="shared" ref="I89:I100" si="113">I74</f>
        <v>0.3</v>
      </c>
      <c r="J89" s="164">
        <f t="shared" ref="J89:J100" si="114">J29</f>
        <v>0.5</v>
      </c>
      <c r="K89" s="164">
        <f t="shared" si="111"/>
        <v>1.1016000000000001</v>
      </c>
      <c r="L89" s="177">
        <f t="shared" ref="L89:L100" si="115">L74</f>
        <v>0.3</v>
      </c>
      <c r="M89" s="164">
        <f t="shared" ref="M89:M100" si="116">M29</f>
        <v>0.3</v>
      </c>
      <c r="N89" s="164">
        <f t="shared" si="111"/>
        <v>0.18359999999999999</v>
      </c>
      <c r="O89" s="164">
        <f t="shared" ref="O89:Q89" si="117">O29</f>
        <v>0.15</v>
      </c>
      <c r="P89" s="164">
        <f t="shared" si="117"/>
        <v>0</v>
      </c>
      <c r="Q89" s="164">
        <f t="shared" si="117"/>
        <v>9.1799999999999993E-2</v>
      </c>
      <c r="R89" s="177">
        <f t="shared" ref="R89:R100" si="118">R74</f>
        <v>1.25</v>
      </c>
      <c r="S89" s="164">
        <f t="shared" ref="S89:S100" si="119">S29</f>
        <v>0.5</v>
      </c>
      <c r="T89" s="164">
        <f t="shared" si="111"/>
        <v>1.6829999999999998</v>
      </c>
      <c r="U89" s="177">
        <f t="shared" ref="U89:U100" si="120">U74</f>
        <v>0.95</v>
      </c>
      <c r="V89" s="164">
        <f t="shared" ref="V89:V100" si="121">V29</f>
        <v>0.95</v>
      </c>
      <c r="W89" s="164">
        <f t="shared" si="111"/>
        <v>0.58139999999999992</v>
      </c>
      <c r="X89" s="177">
        <f t="shared" ref="X89:X100" si="122">X29</f>
        <v>0.35</v>
      </c>
      <c r="Y89" s="177">
        <f t="shared" ref="Y89:Y100" si="123">Y29</f>
        <v>0.5</v>
      </c>
      <c r="Z89" s="164">
        <f t="shared" ref="Z89:Z100" si="124">Z29</f>
        <v>0.82619999999999993</v>
      </c>
      <c r="AA89" s="177">
        <f t="shared" ref="AA89:AA100" si="125">AA74</f>
        <v>0.55000000000000004</v>
      </c>
      <c r="AB89" s="164">
        <f t="shared" ref="AB89:AB100" si="126">AB29</f>
        <v>0</v>
      </c>
      <c r="AC89" s="164">
        <f t="shared" si="111"/>
        <v>0.33660000000000001</v>
      </c>
      <c r="AE89" s="19" t="s">
        <v>60</v>
      </c>
      <c r="AF89" s="28">
        <f>QSTBKT!M81</f>
        <v>0</v>
      </c>
      <c r="AG89" s="29">
        <v>0.17</v>
      </c>
      <c r="AH89" s="28">
        <v>1200</v>
      </c>
      <c r="AI89" s="29">
        <f>AF89*AG89*AH89/1000</f>
        <v>0</v>
      </c>
    </row>
    <row r="90" spans="1:35" ht="18.75">
      <c r="A90" s="162" t="s">
        <v>135</v>
      </c>
      <c r="B90" s="163"/>
      <c r="C90" s="177"/>
      <c r="D90" s="169">
        <f t="shared" ref="D90:AC90" si="127">D30-D45-D60-D75</f>
        <v>11.940750000000001</v>
      </c>
      <c r="E90" s="169"/>
      <c r="F90" s="169"/>
      <c r="G90" s="165"/>
      <c r="H90" s="169">
        <f t="shared" si="127"/>
        <v>10.685</v>
      </c>
      <c r="I90" s="165"/>
      <c r="J90" s="169"/>
      <c r="K90" s="169">
        <f t="shared" si="127"/>
        <v>2.2028500000000006</v>
      </c>
      <c r="L90" s="165"/>
      <c r="M90" s="169"/>
      <c r="N90" s="169">
        <f t="shared" si="127"/>
        <v>0.99940000000000018</v>
      </c>
      <c r="O90" s="169"/>
      <c r="P90" s="169"/>
      <c r="Q90" s="169">
        <f t="shared" ref="Q90" si="128">Q30</f>
        <v>0.44930000000000003</v>
      </c>
      <c r="R90" s="165"/>
      <c r="S90" s="169"/>
      <c r="T90" s="169">
        <f t="shared" si="127"/>
        <v>10.014849999999999</v>
      </c>
      <c r="U90" s="165"/>
      <c r="V90" s="169"/>
      <c r="W90" s="169">
        <f t="shared" si="127"/>
        <v>7.8455999999999992</v>
      </c>
      <c r="X90" s="165"/>
      <c r="Y90" s="165"/>
      <c r="Z90" s="169">
        <f t="shared" si="124"/>
        <v>0.72054999999999936</v>
      </c>
      <c r="AA90" s="165"/>
      <c r="AB90" s="169"/>
      <c r="AC90" s="169">
        <f t="shared" si="127"/>
        <v>2.8730000000000016</v>
      </c>
      <c r="AE90" s="358" t="s">
        <v>68</v>
      </c>
      <c r="AF90" s="359"/>
      <c r="AG90" s="359"/>
      <c r="AH90" s="360"/>
      <c r="AI90" s="30"/>
    </row>
    <row r="91" spans="1:35" ht="18.75">
      <c r="A91" s="166" t="s">
        <v>126</v>
      </c>
      <c r="B91" s="163">
        <f>AF94</f>
        <v>4</v>
      </c>
      <c r="C91" s="177">
        <f t="shared" ref="C91:C100" si="129">C76</f>
        <v>1.35</v>
      </c>
      <c r="D91" s="164">
        <f t="shared" ref="D91:AC91" si="130">D31-D46-D61-D76</f>
        <v>9.9360000000000017</v>
      </c>
      <c r="E91" s="164"/>
      <c r="F91" s="164"/>
      <c r="G91" s="177">
        <f t="shared" si="112"/>
        <v>1.25</v>
      </c>
      <c r="H91" s="164">
        <f t="shared" si="130"/>
        <v>9.2000000000000011</v>
      </c>
      <c r="I91" s="177">
        <f t="shared" si="113"/>
        <v>0.1</v>
      </c>
      <c r="J91" s="164">
        <f t="shared" si="114"/>
        <v>0</v>
      </c>
      <c r="K91" s="164">
        <f t="shared" si="130"/>
        <v>0.7360000000000001</v>
      </c>
      <c r="L91" s="177">
        <f t="shared" si="115"/>
        <v>0</v>
      </c>
      <c r="M91" s="164">
        <f t="shared" si="116"/>
        <v>0.1</v>
      </c>
      <c r="N91" s="164">
        <f t="shared" si="130"/>
        <v>0.7360000000000001</v>
      </c>
      <c r="O91" s="164">
        <f t="shared" ref="O91:Q91" si="131">O31</f>
        <v>0</v>
      </c>
      <c r="P91" s="164">
        <f t="shared" si="131"/>
        <v>0</v>
      </c>
      <c r="Q91" s="164">
        <f t="shared" si="131"/>
        <v>0</v>
      </c>
      <c r="R91" s="177">
        <f t="shared" si="118"/>
        <v>1</v>
      </c>
      <c r="S91" s="164">
        <f t="shared" si="119"/>
        <v>0</v>
      </c>
      <c r="T91" s="164">
        <f t="shared" si="130"/>
        <v>7.36</v>
      </c>
      <c r="U91" s="177">
        <f t="shared" si="120"/>
        <v>1</v>
      </c>
      <c r="V91" s="164">
        <f t="shared" si="121"/>
        <v>0.9</v>
      </c>
      <c r="W91" s="164">
        <f t="shared" si="130"/>
        <v>6.6240000000000006</v>
      </c>
      <c r="X91" s="177">
        <f t="shared" si="122"/>
        <v>0</v>
      </c>
      <c r="Y91" s="177">
        <f t="shared" si="123"/>
        <v>0</v>
      </c>
      <c r="Z91" s="164">
        <f t="shared" si="124"/>
        <v>0</v>
      </c>
      <c r="AA91" s="177">
        <f t="shared" si="125"/>
        <v>0.35000000000000009</v>
      </c>
      <c r="AB91" s="164">
        <f t="shared" si="126"/>
        <v>0</v>
      </c>
      <c r="AC91" s="164">
        <f t="shared" si="130"/>
        <v>2.576000000000001</v>
      </c>
      <c r="AE91" s="19" t="s">
        <v>58</v>
      </c>
      <c r="AF91" s="28">
        <f>QSTBKT!K81</f>
        <v>3</v>
      </c>
      <c r="AG91" s="29">
        <v>23</v>
      </c>
      <c r="AH91" s="28">
        <v>80</v>
      </c>
      <c r="AI91" s="29">
        <f>AH91*AG91*AF91/1000</f>
        <v>5.52</v>
      </c>
    </row>
    <row r="92" spans="1:35" ht="18.75">
      <c r="A92" s="167" t="s">
        <v>127</v>
      </c>
      <c r="B92" s="163">
        <f>AF91</f>
        <v>3</v>
      </c>
      <c r="C92" s="177">
        <f t="shared" si="129"/>
        <v>1.5</v>
      </c>
      <c r="D92" s="164">
        <f t="shared" ref="D92:AC92" si="132">D32-D47-D62-D77</f>
        <v>0</v>
      </c>
      <c r="E92" s="164"/>
      <c r="F92" s="164"/>
      <c r="G92" s="177">
        <f t="shared" si="112"/>
        <v>1.25</v>
      </c>
      <c r="H92" s="164">
        <f t="shared" si="132"/>
        <v>0</v>
      </c>
      <c r="I92" s="177">
        <f t="shared" si="113"/>
        <v>0.1</v>
      </c>
      <c r="J92" s="164">
        <f t="shared" si="114"/>
        <v>0.15</v>
      </c>
      <c r="K92" s="164">
        <f t="shared" si="132"/>
        <v>0.3</v>
      </c>
      <c r="L92" s="177">
        <f t="shared" si="115"/>
        <v>0.1</v>
      </c>
      <c r="M92" s="164">
        <f t="shared" si="116"/>
        <v>0</v>
      </c>
      <c r="N92" s="164">
        <f t="shared" si="132"/>
        <v>-1.3877787807814457E-17</v>
      </c>
      <c r="O92" s="164">
        <f t="shared" ref="O92:Q92" si="133">O32</f>
        <v>0.1</v>
      </c>
      <c r="P92" s="164">
        <f t="shared" si="133"/>
        <v>0</v>
      </c>
      <c r="Q92" s="164">
        <f t="shared" si="133"/>
        <v>0.2</v>
      </c>
      <c r="R92" s="177">
        <f t="shared" si="118"/>
        <v>1</v>
      </c>
      <c r="S92" s="164">
        <f t="shared" si="119"/>
        <v>0.14999999999999991</v>
      </c>
      <c r="T92" s="164">
        <f t="shared" si="132"/>
        <v>0.29999999999999982</v>
      </c>
      <c r="U92" s="177">
        <f t="shared" si="120"/>
        <v>0.9</v>
      </c>
      <c r="V92" s="164">
        <f t="shared" si="121"/>
        <v>1</v>
      </c>
      <c r="W92" s="164">
        <f t="shared" si="132"/>
        <v>-5.5511151231257827E-17</v>
      </c>
      <c r="X92" s="177">
        <f t="shared" si="122"/>
        <v>4.9999999999999906E-2</v>
      </c>
      <c r="Y92" s="177">
        <f t="shared" si="123"/>
        <v>0.14999999999999991</v>
      </c>
      <c r="Z92" s="164">
        <f t="shared" si="124"/>
        <v>9.9999999999999811E-2</v>
      </c>
      <c r="AA92" s="177">
        <f t="shared" si="125"/>
        <v>0.35000000000000009</v>
      </c>
      <c r="AB92" s="164">
        <f t="shared" si="126"/>
        <v>0</v>
      </c>
      <c r="AC92" s="164">
        <f t="shared" si="132"/>
        <v>0</v>
      </c>
      <c r="AE92" s="19" t="s">
        <v>57</v>
      </c>
      <c r="AF92" s="28">
        <f>QSTBKT!J81</f>
        <v>3</v>
      </c>
      <c r="AG92" s="29">
        <v>5</v>
      </c>
      <c r="AH92" s="28">
        <v>100</v>
      </c>
      <c r="AI92" s="29">
        <f>AH92*AG92*AF92/1000</f>
        <v>1.5</v>
      </c>
    </row>
    <row r="93" spans="1:35" ht="18.75">
      <c r="A93" s="167" t="s">
        <v>128</v>
      </c>
      <c r="B93" s="163">
        <f>AF92</f>
        <v>3</v>
      </c>
      <c r="C93" s="177">
        <f t="shared" si="129"/>
        <v>1.5</v>
      </c>
      <c r="D93" s="164">
        <f t="shared" ref="D93:AC93" si="134">D33-D48-D63-D78</f>
        <v>0</v>
      </c>
      <c r="E93" s="164"/>
      <c r="F93" s="164"/>
      <c r="G93" s="177">
        <f t="shared" si="112"/>
        <v>1.25</v>
      </c>
      <c r="H93" s="164">
        <f t="shared" si="134"/>
        <v>0</v>
      </c>
      <c r="I93" s="177">
        <f t="shared" si="113"/>
        <v>0.1</v>
      </c>
      <c r="J93" s="164">
        <f t="shared" si="114"/>
        <v>0.15</v>
      </c>
      <c r="K93" s="164">
        <f t="shared" si="134"/>
        <v>0.2016</v>
      </c>
      <c r="L93" s="177">
        <f t="shared" si="115"/>
        <v>0.1</v>
      </c>
      <c r="M93" s="164">
        <f t="shared" si="116"/>
        <v>0</v>
      </c>
      <c r="N93" s="164">
        <f t="shared" si="134"/>
        <v>-3.3600000000000019E-2</v>
      </c>
      <c r="O93" s="164">
        <f t="shared" ref="O93:Q93" si="135">O33</f>
        <v>0.1</v>
      </c>
      <c r="P93" s="164">
        <f t="shared" si="135"/>
        <v>0</v>
      </c>
      <c r="Q93" s="164">
        <f t="shared" si="135"/>
        <v>0.1008</v>
      </c>
      <c r="R93" s="177">
        <f t="shared" si="118"/>
        <v>1</v>
      </c>
      <c r="S93" s="164">
        <f t="shared" si="119"/>
        <v>0.14999999999999991</v>
      </c>
      <c r="T93" s="164">
        <f t="shared" si="134"/>
        <v>0.20160000000000006</v>
      </c>
      <c r="U93" s="177">
        <f t="shared" si="120"/>
        <v>0.9</v>
      </c>
      <c r="V93" s="164">
        <f t="shared" si="121"/>
        <v>1</v>
      </c>
      <c r="W93" s="164">
        <f t="shared" si="134"/>
        <v>3.3600000000000074E-2</v>
      </c>
      <c r="X93" s="177">
        <f t="shared" si="122"/>
        <v>4.9999999999999906E-2</v>
      </c>
      <c r="Y93" s="177">
        <f t="shared" si="123"/>
        <v>0.14999999999999991</v>
      </c>
      <c r="Z93" s="164">
        <f t="shared" si="124"/>
        <v>0.10079999999999988</v>
      </c>
      <c r="AA93" s="177">
        <f t="shared" si="125"/>
        <v>0.35000000000000009</v>
      </c>
      <c r="AB93" s="164">
        <f t="shared" si="126"/>
        <v>0</v>
      </c>
      <c r="AC93" s="164">
        <f t="shared" si="134"/>
        <v>0</v>
      </c>
      <c r="AE93" s="19" t="s">
        <v>56</v>
      </c>
      <c r="AF93" s="28">
        <f>QSTBKT!I81</f>
        <v>4</v>
      </c>
      <c r="AG93" s="29">
        <v>2.1</v>
      </c>
      <c r="AH93" s="28">
        <v>80</v>
      </c>
      <c r="AI93" s="29">
        <f>AH93*AG93*AF93/1000</f>
        <v>0.67200000000000004</v>
      </c>
    </row>
    <row r="94" spans="1:35" ht="18.75">
      <c r="A94" s="167" t="s">
        <v>129</v>
      </c>
      <c r="B94" s="163">
        <f>AF93</f>
        <v>4</v>
      </c>
      <c r="C94" s="177">
        <f t="shared" si="129"/>
        <v>1.35</v>
      </c>
      <c r="D94" s="164">
        <f t="shared" ref="D94:AC94" si="136">D34-D49-D64-D79</f>
        <v>2.0047499999999996</v>
      </c>
      <c r="E94" s="164"/>
      <c r="F94" s="164"/>
      <c r="G94" s="177">
        <f t="shared" si="112"/>
        <v>1</v>
      </c>
      <c r="H94" s="164">
        <f t="shared" si="136"/>
        <v>1.4849999999999997</v>
      </c>
      <c r="I94" s="177">
        <f t="shared" si="113"/>
        <v>0.2</v>
      </c>
      <c r="J94" s="164">
        <f t="shared" si="114"/>
        <v>0.14999999999999997</v>
      </c>
      <c r="K94" s="164">
        <f t="shared" si="136"/>
        <v>0.96524999999999983</v>
      </c>
      <c r="L94" s="177">
        <f t="shared" si="115"/>
        <v>0.2</v>
      </c>
      <c r="M94" s="164">
        <f t="shared" si="116"/>
        <v>0.2</v>
      </c>
      <c r="N94" s="164">
        <f t="shared" si="136"/>
        <v>0.29700000000000004</v>
      </c>
      <c r="O94" s="164">
        <f t="shared" ref="O94:Q94" si="137">O34</f>
        <v>0.1</v>
      </c>
      <c r="P94" s="164">
        <f t="shared" si="137"/>
        <v>0</v>
      </c>
      <c r="Q94" s="164">
        <f t="shared" si="137"/>
        <v>0.14850000000000002</v>
      </c>
      <c r="R94" s="177">
        <f t="shared" si="118"/>
        <v>1</v>
      </c>
      <c r="S94" s="164">
        <f t="shared" si="119"/>
        <v>0.14999999999999991</v>
      </c>
      <c r="T94" s="164">
        <f t="shared" si="136"/>
        <v>2.153249999999999</v>
      </c>
      <c r="U94" s="177">
        <f t="shared" si="120"/>
        <v>0.8</v>
      </c>
      <c r="V94" s="164">
        <f t="shared" si="121"/>
        <v>0.8</v>
      </c>
      <c r="W94" s="164">
        <f t="shared" si="136"/>
        <v>1.1880000000000002</v>
      </c>
      <c r="X94" s="177">
        <f t="shared" si="122"/>
        <v>4.9999999999999906E-2</v>
      </c>
      <c r="Y94" s="177">
        <f t="shared" si="123"/>
        <v>0.14999999999999991</v>
      </c>
      <c r="Z94" s="164">
        <f t="shared" si="124"/>
        <v>0.51974999999999971</v>
      </c>
      <c r="AA94" s="177">
        <f t="shared" si="125"/>
        <v>0.19999999999999996</v>
      </c>
      <c r="AB94" s="164">
        <f t="shared" si="126"/>
        <v>0</v>
      </c>
      <c r="AC94" s="164">
        <f t="shared" si="136"/>
        <v>0.29699999999999993</v>
      </c>
      <c r="AE94" s="19" t="s">
        <v>12</v>
      </c>
      <c r="AF94" s="28">
        <f>QSTBKT!L81</f>
        <v>4</v>
      </c>
      <c r="AG94" s="29">
        <v>16.5</v>
      </c>
      <c r="AH94" s="28">
        <v>30</v>
      </c>
      <c r="AI94" s="29">
        <f>AH94*AG94*AF94/1000</f>
        <v>1.98</v>
      </c>
    </row>
    <row r="95" spans="1:35" ht="18.75">
      <c r="A95" s="168" t="s">
        <v>136</v>
      </c>
      <c r="B95" s="163"/>
      <c r="C95" s="177"/>
      <c r="D95" s="169">
        <f t="shared" ref="D95:AC95" si="138">D35-D50-D65-D80</f>
        <v>2.5836623999999988</v>
      </c>
      <c r="E95" s="169"/>
      <c r="F95" s="169"/>
      <c r="G95" s="165"/>
      <c r="H95" s="169">
        <f t="shared" si="138"/>
        <v>1.5979919999999992</v>
      </c>
      <c r="I95" s="165"/>
      <c r="J95" s="169"/>
      <c r="K95" s="169">
        <f t="shared" si="138"/>
        <v>2.4390143999999996</v>
      </c>
      <c r="L95" s="165"/>
      <c r="M95" s="169"/>
      <c r="N95" s="169">
        <f t="shared" si="138"/>
        <v>0.25423199999999924</v>
      </c>
      <c r="O95" s="169"/>
      <c r="P95" s="169"/>
      <c r="Q95" s="169">
        <f t="shared" ref="Q95" si="139">Q35</f>
        <v>0.91091879999999992</v>
      </c>
      <c r="R95" s="165"/>
      <c r="S95" s="169"/>
      <c r="T95" s="169">
        <f t="shared" si="138"/>
        <v>3.6268824000000004</v>
      </c>
      <c r="U95" s="165"/>
      <c r="V95" s="169"/>
      <c r="W95" s="169">
        <f t="shared" si="138"/>
        <v>1.6195080000000006</v>
      </c>
      <c r="X95" s="165"/>
      <c r="Y95" s="165"/>
      <c r="Z95" s="169">
        <f t="shared" si="124"/>
        <v>0.84222359999999952</v>
      </c>
      <c r="AA95" s="165"/>
      <c r="AB95" s="169"/>
      <c r="AC95" s="169">
        <f t="shared" si="138"/>
        <v>0.41012400000000004</v>
      </c>
      <c r="AE95" s="361" t="s">
        <v>54</v>
      </c>
      <c r="AF95" s="361"/>
      <c r="AG95" s="361"/>
      <c r="AH95" s="361"/>
      <c r="AI95" s="30"/>
    </row>
    <row r="96" spans="1:35" ht="18.75">
      <c r="A96" s="167" t="s">
        <v>130</v>
      </c>
      <c r="B96" s="163">
        <f t="shared" ref="B96:B101" si="140">AF96</f>
        <v>6</v>
      </c>
      <c r="C96" s="177">
        <f t="shared" si="129"/>
        <v>1.78</v>
      </c>
      <c r="D96" s="164">
        <f t="shared" ref="D96:AC96" si="141">D36-D51-D66-D81</f>
        <v>0.70488000000000017</v>
      </c>
      <c r="E96" s="164"/>
      <c r="F96" s="164"/>
      <c r="G96" s="177">
        <f t="shared" si="112"/>
        <v>1.25</v>
      </c>
      <c r="H96" s="164">
        <f t="shared" si="141"/>
        <v>0.49499999999999966</v>
      </c>
      <c r="I96" s="177">
        <f t="shared" si="113"/>
        <v>0.33</v>
      </c>
      <c r="J96" s="164">
        <f t="shared" si="114"/>
        <v>0.2</v>
      </c>
      <c r="K96" s="164">
        <f t="shared" si="141"/>
        <v>1.08108</v>
      </c>
      <c r="L96" s="177">
        <f t="shared" si="115"/>
        <v>0.33</v>
      </c>
      <c r="M96" s="164">
        <f t="shared" si="116"/>
        <v>0</v>
      </c>
      <c r="N96" s="164">
        <f t="shared" si="141"/>
        <v>-0.26135999999999993</v>
      </c>
      <c r="O96" s="164">
        <f t="shared" ref="O96:Q96" si="142">O36</f>
        <v>0.15</v>
      </c>
      <c r="P96" s="164">
        <f t="shared" si="142"/>
        <v>0</v>
      </c>
      <c r="Q96" s="164">
        <f t="shared" si="142"/>
        <v>0.53459999999999996</v>
      </c>
      <c r="R96" s="177">
        <f t="shared" si="118"/>
        <v>1.25</v>
      </c>
      <c r="S96" s="164">
        <f t="shared" si="119"/>
        <v>0.19999999999999996</v>
      </c>
      <c r="T96" s="164">
        <f t="shared" si="141"/>
        <v>1.4454000000000002</v>
      </c>
      <c r="U96" s="177">
        <f t="shared" si="120"/>
        <v>0.91999999999999993</v>
      </c>
      <c r="V96" s="164">
        <f t="shared" si="121"/>
        <v>1.25</v>
      </c>
      <c r="W96" s="164">
        <f t="shared" si="141"/>
        <v>0.75636000000000037</v>
      </c>
      <c r="X96" s="177">
        <f t="shared" si="122"/>
        <v>4.9999999999999961E-2</v>
      </c>
      <c r="Y96" s="177">
        <f t="shared" si="123"/>
        <v>0.19999999999999996</v>
      </c>
      <c r="Z96" s="164">
        <f t="shared" si="124"/>
        <v>0.41579999999999978</v>
      </c>
      <c r="AA96" s="177">
        <f t="shared" si="125"/>
        <v>0.33000000000000007</v>
      </c>
      <c r="AB96" s="164">
        <f t="shared" si="126"/>
        <v>0</v>
      </c>
      <c r="AC96" s="164">
        <f t="shared" si="141"/>
        <v>0.13068000000000002</v>
      </c>
      <c r="AE96" s="19" t="s">
        <v>52</v>
      </c>
      <c r="AF96" s="28">
        <f>QSTBKT!G81</f>
        <v>6</v>
      </c>
      <c r="AG96" s="29">
        <v>5.5</v>
      </c>
      <c r="AH96" s="28">
        <v>12</v>
      </c>
      <c r="AI96" s="29">
        <f>AF96*AG96*AH96/1000</f>
        <v>0.39600000000000002</v>
      </c>
    </row>
    <row r="97" spans="1:35" ht="18.75">
      <c r="A97" s="167" t="s">
        <v>131</v>
      </c>
      <c r="B97" s="163">
        <f t="shared" si="140"/>
        <v>0</v>
      </c>
      <c r="C97" s="177">
        <f t="shared" si="129"/>
        <v>1.7</v>
      </c>
      <c r="D97" s="164">
        <f t="shared" ref="D97:AC97" si="143">D37-D52-D67-D82</f>
        <v>0</v>
      </c>
      <c r="E97" s="164"/>
      <c r="F97" s="164"/>
      <c r="G97" s="177">
        <f t="shared" si="112"/>
        <v>1</v>
      </c>
      <c r="H97" s="164">
        <f t="shared" si="143"/>
        <v>0</v>
      </c>
      <c r="I97" s="177">
        <f t="shared" si="113"/>
        <v>0.5</v>
      </c>
      <c r="J97" s="164">
        <f t="shared" si="114"/>
        <v>0.19999999999999996</v>
      </c>
      <c r="K97" s="164">
        <f t="shared" si="143"/>
        <v>6.3360000000000027E-2</v>
      </c>
      <c r="L97" s="177">
        <f t="shared" si="115"/>
        <v>0.5</v>
      </c>
      <c r="M97" s="164">
        <f t="shared" si="116"/>
        <v>0</v>
      </c>
      <c r="N97" s="164">
        <f t="shared" si="143"/>
        <v>-3.9599999999999996E-2</v>
      </c>
      <c r="O97" s="164">
        <f t="shared" ref="O97:Q97" si="144">O37</f>
        <v>0.15</v>
      </c>
      <c r="P97" s="164">
        <f t="shared" si="144"/>
        <v>0</v>
      </c>
      <c r="Q97" s="164">
        <f t="shared" si="144"/>
        <v>3.5640000000000005E-2</v>
      </c>
      <c r="R97" s="177">
        <f t="shared" si="118"/>
        <v>1.25</v>
      </c>
      <c r="S97" s="164">
        <f t="shared" si="119"/>
        <v>0.19999999999999996</v>
      </c>
      <c r="T97" s="164">
        <f t="shared" si="143"/>
        <v>6.3360000000000027E-2</v>
      </c>
      <c r="U97" s="177">
        <f t="shared" si="120"/>
        <v>0.75</v>
      </c>
      <c r="V97" s="164">
        <f t="shared" si="121"/>
        <v>1.25</v>
      </c>
      <c r="W97" s="164">
        <f t="shared" si="143"/>
        <v>3.9599999999999969E-2</v>
      </c>
      <c r="X97" s="177">
        <f t="shared" si="122"/>
        <v>4.9999999999999961E-2</v>
      </c>
      <c r="Y97" s="177">
        <f t="shared" si="123"/>
        <v>0.19999999999999996</v>
      </c>
      <c r="Z97" s="164">
        <f t="shared" si="124"/>
        <v>2.7719999999999988E-2</v>
      </c>
      <c r="AA97" s="177">
        <f t="shared" si="125"/>
        <v>0.25</v>
      </c>
      <c r="AB97" s="164">
        <f t="shared" si="126"/>
        <v>0</v>
      </c>
      <c r="AC97" s="164">
        <f t="shared" si="143"/>
        <v>0</v>
      </c>
      <c r="AE97" s="19" t="s">
        <v>10</v>
      </c>
      <c r="AF97" s="28">
        <f>QSTBKT!F81</f>
        <v>0</v>
      </c>
      <c r="AG97" s="29">
        <v>3.3000000000000002E-2</v>
      </c>
      <c r="AH97" s="28">
        <v>1200</v>
      </c>
      <c r="AI97" s="29">
        <f>AF97*AG97*AH97/1000</f>
        <v>0</v>
      </c>
    </row>
    <row r="98" spans="1:35" ht="18.75">
      <c r="A98" s="167" t="s">
        <v>132</v>
      </c>
      <c r="B98" s="163">
        <f t="shared" si="140"/>
        <v>0</v>
      </c>
      <c r="C98" s="177">
        <f t="shared" si="129"/>
        <v>1.7</v>
      </c>
      <c r="D98" s="164">
        <f t="shared" ref="D98:AC98" si="145">D38-D53-D68-D83</f>
        <v>6.7319999999999991E-2</v>
      </c>
      <c r="E98" s="164"/>
      <c r="F98" s="164"/>
      <c r="G98" s="177">
        <f t="shared" si="112"/>
        <v>1</v>
      </c>
      <c r="H98" s="164">
        <f t="shared" si="145"/>
        <v>3.9600000000000024E-2</v>
      </c>
      <c r="I98" s="177">
        <f t="shared" si="113"/>
        <v>0.5</v>
      </c>
      <c r="J98" s="164">
        <f t="shared" si="114"/>
        <v>0.19999999999999996</v>
      </c>
      <c r="K98" s="164">
        <f t="shared" si="145"/>
        <v>0.11483999999999996</v>
      </c>
      <c r="L98" s="177">
        <f t="shared" si="115"/>
        <v>0.5</v>
      </c>
      <c r="M98" s="164">
        <f t="shared" si="116"/>
        <v>0.5</v>
      </c>
      <c r="N98" s="164">
        <f t="shared" si="145"/>
        <v>1.9800000000000012E-2</v>
      </c>
      <c r="O98" s="164">
        <f t="shared" ref="O98:Q98" si="146">O38</f>
        <v>0.15</v>
      </c>
      <c r="P98" s="164">
        <f t="shared" si="146"/>
        <v>0</v>
      </c>
      <c r="Q98" s="164">
        <f t="shared" si="146"/>
        <v>5.3460000000000001E-2</v>
      </c>
      <c r="R98" s="177">
        <f t="shared" si="118"/>
        <v>1.25</v>
      </c>
      <c r="S98" s="164">
        <f t="shared" si="119"/>
        <v>0.19999999999999996</v>
      </c>
      <c r="T98" s="164">
        <f t="shared" si="145"/>
        <v>0.14453999999999997</v>
      </c>
      <c r="U98" s="177">
        <f t="shared" si="120"/>
        <v>0.75</v>
      </c>
      <c r="V98" s="164">
        <f t="shared" si="121"/>
        <v>0.75</v>
      </c>
      <c r="W98" s="164">
        <f t="shared" si="145"/>
        <v>2.9699999999999976E-2</v>
      </c>
      <c r="X98" s="177">
        <f t="shared" si="122"/>
        <v>4.9999999999999961E-2</v>
      </c>
      <c r="Y98" s="177">
        <f t="shared" si="123"/>
        <v>0.19999999999999996</v>
      </c>
      <c r="Z98" s="164">
        <f t="shared" si="124"/>
        <v>4.1579999999999978E-2</v>
      </c>
      <c r="AA98" s="177">
        <f t="shared" si="125"/>
        <v>0.25</v>
      </c>
      <c r="AB98" s="164">
        <f t="shared" si="126"/>
        <v>0</v>
      </c>
      <c r="AC98" s="164">
        <f t="shared" si="145"/>
        <v>9.900000000000006E-3</v>
      </c>
      <c r="AE98" s="19" t="s">
        <v>9</v>
      </c>
      <c r="AF98" s="28">
        <f>QSTBKT!E81</f>
        <v>0</v>
      </c>
      <c r="AG98" s="29">
        <v>2.1999999999999999E-2</v>
      </c>
      <c r="AH98" s="28">
        <v>600</v>
      </c>
      <c r="AI98" s="29">
        <f>AF98*AG98*AH98/1000</f>
        <v>0</v>
      </c>
    </row>
    <row r="99" spans="1:35" ht="18.75">
      <c r="A99" s="167" t="s">
        <v>133</v>
      </c>
      <c r="B99" s="163">
        <f t="shared" si="140"/>
        <v>160</v>
      </c>
      <c r="C99" s="177">
        <f t="shared" si="129"/>
        <v>1.7</v>
      </c>
      <c r="D99" s="164">
        <f t="shared" ref="D99:AC99" si="147">D39-D54-D69-D84</f>
        <v>1.7951999999999999</v>
      </c>
      <c r="E99" s="164"/>
      <c r="F99" s="164"/>
      <c r="G99" s="177">
        <f t="shared" si="112"/>
        <v>1</v>
      </c>
      <c r="H99" s="164">
        <f t="shared" si="147"/>
        <v>1.0559999999999996</v>
      </c>
      <c r="I99" s="177">
        <f t="shared" si="113"/>
        <v>0.5</v>
      </c>
      <c r="J99" s="164">
        <f t="shared" si="114"/>
        <v>0.19999999999999996</v>
      </c>
      <c r="K99" s="164">
        <f t="shared" si="147"/>
        <v>1.1695199999999997</v>
      </c>
      <c r="L99" s="177">
        <f t="shared" si="115"/>
        <v>0.5</v>
      </c>
      <c r="M99" s="164">
        <f t="shared" si="116"/>
        <v>0.5</v>
      </c>
      <c r="N99" s="164">
        <f t="shared" si="147"/>
        <v>0.5279999999999998</v>
      </c>
      <c r="O99" s="164">
        <f t="shared" ref="O99:Q99" si="148">O39</f>
        <v>0.15</v>
      </c>
      <c r="P99" s="164">
        <f t="shared" si="148"/>
        <v>0</v>
      </c>
      <c r="Q99" s="164">
        <f t="shared" si="148"/>
        <v>0.28610999999999998</v>
      </c>
      <c r="R99" s="177">
        <f t="shared" si="118"/>
        <v>1.25</v>
      </c>
      <c r="S99" s="164">
        <f t="shared" si="119"/>
        <v>0.19999999999999996</v>
      </c>
      <c r="T99" s="164">
        <f t="shared" si="147"/>
        <v>1.9615200000000006</v>
      </c>
      <c r="U99" s="177">
        <f t="shared" si="120"/>
        <v>0.75</v>
      </c>
      <c r="V99" s="164">
        <f t="shared" si="121"/>
        <v>0.75</v>
      </c>
      <c r="W99" s="164">
        <f t="shared" si="147"/>
        <v>0.79199999999999937</v>
      </c>
      <c r="X99" s="177">
        <f t="shared" si="122"/>
        <v>4.9999999999999961E-2</v>
      </c>
      <c r="Y99" s="177">
        <f t="shared" si="123"/>
        <v>0.19999999999999996</v>
      </c>
      <c r="Z99" s="164">
        <f t="shared" si="124"/>
        <v>0.35540999999999978</v>
      </c>
      <c r="AA99" s="177">
        <f t="shared" si="125"/>
        <v>0.25</v>
      </c>
      <c r="AB99" s="164">
        <f t="shared" si="126"/>
        <v>0</v>
      </c>
      <c r="AC99" s="164">
        <f t="shared" si="147"/>
        <v>0.2639999999999999</v>
      </c>
      <c r="AE99" s="19" t="s">
        <v>8</v>
      </c>
      <c r="AF99" s="28">
        <f>QSTBKT!D81</f>
        <v>160</v>
      </c>
      <c r="AG99" s="29">
        <v>2.1999999999999999E-2</v>
      </c>
      <c r="AH99" s="28">
        <v>300</v>
      </c>
      <c r="AI99" s="29">
        <f>AF99*AG99*AH99/1000</f>
        <v>1.0559999999999998</v>
      </c>
    </row>
    <row r="100" spans="1:35" ht="18.75">
      <c r="A100" s="167" t="s">
        <v>134</v>
      </c>
      <c r="B100" s="163">
        <f t="shared" si="140"/>
        <v>22</v>
      </c>
      <c r="C100" s="177">
        <f t="shared" si="129"/>
        <v>2.2000000000000002</v>
      </c>
      <c r="D100" s="164">
        <f t="shared" ref="D100:AC100" si="149">D40-D55-D70-D85</f>
        <v>1.6262399999999996E-2</v>
      </c>
      <c r="E100" s="164"/>
      <c r="F100" s="164"/>
      <c r="G100" s="177">
        <f t="shared" si="112"/>
        <v>1</v>
      </c>
      <c r="H100" s="164">
        <f t="shared" si="149"/>
        <v>7.3919999999999993E-3</v>
      </c>
      <c r="I100" s="177">
        <f t="shared" si="113"/>
        <v>1</v>
      </c>
      <c r="J100" s="164">
        <f t="shared" si="114"/>
        <v>0.19999999999999996</v>
      </c>
      <c r="K100" s="164">
        <f t="shared" si="149"/>
        <v>1.0214399999999995E-2</v>
      </c>
      <c r="L100" s="177">
        <f t="shared" si="115"/>
        <v>1</v>
      </c>
      <c r="M100" s="164">
        <f t="shared" si="116"/>
        <v>1</v>
      </c>
      <c r="N100" s="164">
        <f t="shared" si="149"/>
        <v>7.3919999999999993E-3</v>
      </c>
      <c r="O100" s="164">
        <f t="shared" ref="O100:Q100" si="150">O40</f>
        <v>0.15</v>
      </c>
      <c r="P100" s="164">
        <f t="shared" si="150"/>
        <v>0</v>
      </c>
      <c r="Q100" s="164">
        <f t="shared" si="150"/>
        <v>1.1087999999999998E-3</v>
      </c>
      <c r="R100" s="177">
        <f t="shared" si="118"/>
        <v>1.25</v>
      </c>
      <c r="S100" s="164">
        <f t="shared" si="119"/>
        <v>0.19999999999999996</v>
      </c>
      <c r="T100" s="164">
        <f t="shared" si="149"/>
        <v>1.2062399999999994E-2</v>
      </c>
      <c r="U100" s="177">
        <f t="shared" si="120"/>
        <v>0.25</v>
      </c>
      <c r="V100" s="164">
        <f t="shared" si="121"/>
        <v>0.25</v>
      </c>
      <c r="W100" s="164">
        <f t="shared" si="149"/>
        <v>1.8479999999999998E-3</v>
      </c>
      <c r="X100" s="177">
        <f t="shared" si="122"/>
        <v>4.9999999999999961E-2</v>
      </c>
      <c r="Y100" s="177">
        <f t="shared" si="123"/>
        <v>0.19999999999999996</v>
      </c>
      <c r="Z100" s="164">
        <f t="shared" si="124"/>
        <v>1.7135999999999994E-3</v>
      </c>
      <c r="AA100" s="177">
        <f t="shared" si="125"/>
        <v>0.75</v>
      </c>
      <c r="AB100" s="164">
        <f t="shared" si="126"/>
        <v>0</v>
      </c>
      <c r="AC100" s="164">
        <f t="shared" si="149"/>
        <v>5.5439999999999977E-3</v>
      </c>
      <c r="AE100" s="19" t="s">
        <v>7</v>
      </c>
      <c r="AF100" s="28">
        <f>QSTBKT!C81</f>
        <v>22</v>
      </c>
      <c r="AG100" s="29">
        <v>1.4E-2</v>
      </c>
      <c r="AH100" s="28">
        <v>24</v>
      </c>
      <c r="AI100" s="29">
        <f>AF100*AG100*AH100/1000</f>
        <v>7.3919999999999993E-3</v>
      </c>
    </row>
    <row r="101" spans="1:35" ht="18.75">
      <c r="A101" s="168" t="s">
        <v>3</v>
      </c>
      <c r="B101" s="163">
        <f t="shared" si="140"/>
        <v>693</v>
      </c>
      <c r="C101" s="265">
        <f>E101+G101+I101</f>
        <v>1293</v>
      </c>
      <c r="D101" s="169">
        <f t="shared" ref="D101:AC101" si="151">D41-D56-D71-D86</f>
        <v>1.1197500000000002</v>
      </c>
      <c r="E101" s="164"/>
      <c r="F101" s="164"/>
      <c r="G101" s="261">
        <v>600</v>
      </c>
      <c r="H101" s="169">
        <f t="shared" si="151"/>
        <v>0.44999999999999996</v>
      </c>
      <c r="I101" s="261">
        <v>693</v>
      </c>
      <c r="J101" s="265">
        <f>J41</f>
        <v>200</v>
      </c>
      <c r="K101" s="169">
        <f t="shared" si="151"/>
        <v>0.66975000000000007</v>
      </c>
      <c r="L101" s="261">
        <v>693</v>
      </c>
      <c r="M101" s="265">
        <f>M41</f>
        <v>959</v>
      </c>
      <c r="N101" s="169">
        <f t="shared" si="151"/>
        <v>0.51974999999999993</v>
      </c>
      <c r="O101" s="265">
        <f>O41</f>
        <v>100</v>
      </c>
      <c r="P101" s="164">
        <f>P41</f>
        <v>0</v>
      </c>
      <c r="Q101" s="169">
        <f>Q41</f>
        <v>7.4999999999999997E-2</v>
      </c>
      <c r="R101" s="261">
        <v>693</v>
      </c>
      <c r="S101" s="265">
        <f>S41</f>
        <v>200</v>
      </c>
      <c r="T101" s="169">
        <f t="shared" si="151"/>
        <v>0.66975000000000007</v>
      </c>
      <c r="U101" s="265">
        <f>E101+R101-L101</f>
        <v>0</v>
      </c>
      <c r="V101" s="265">
        <f>V41</f>
        <v>1444</v>
      </c>
      <c r="W101" s="169">
        <f t="shared" si="151"/>
        <v>1.8022499999999999</v>
      </c>
      <c r="X101" s="265">
        <f>X41</f>
        <v>100</v>
      </c>
      <c r="Y101" s="265">
        <f>Y41</f>
        <v>200</v>
      </c>
      <c r="Z101" s="169">
        <f>Z41</f>
        <v>0.22499999999999998</v>
      </c>
      <c r="AA101" s="265">
        <f>I101+G101-R101</f>
        <v>600</v>
      </c>
      <c r="AB101" s="164">
        <f>AB41</f>
        <v>0</v>
      </c>
      <c r="AC101" s="169">
        <f t="shared" si="151"/>
        <v>0.44999999999999996</v>
      </c>
      <c r="AE101" s="32" t="s">
        <v>3</v>
      </c>
      <c r="AF101" s="21">
        <f>QSTBKT!H81</f>
        <v>693</v>
      </c>
      <c r="AG101" s="22">
        <v>0.75</v>
      </c>
      <c r="AH101" s="26"/>
      <c r="AI101" s="25">
        <f>0.75/1000</f>
        <v>7.5000000000000002E-4</v>
      </c>
    </row>
    <row r="102" spans="1:35">
      <c r="C102" s="266"/>
      <c r="N102" s="88"/>
    </row>
    <row r="103" spans="1:35" ht="20.25">
      <c r="AE103" s="127"/>
      <c r="AF103" s="127"/>
      <c r="AG103" s="127"/>
      <c r="AH103" s="127"/>
      <c r="AI103" s="127"/>
    </row>
  </sheetData>
  <mergeCells count="48">
    <mergeCell ref="AE30:AH30"/>
    <mergeCell ref="AE35:AH35"/>
    <mergeCell ref="AK30:AN30"/>
    <mergeCell ref="AQ30:AT30"/>
    <mergeCell ref="AK35:AN35"/>
    <mergeCell ref="AQ35:AT35"/>
    <mergeCell ref="T26:T27"/>
    <mergeCell ref="R24:T25"/>
    <mergeCell ref="AK27:AO27"/>
    <mergeCell ref="AQ27:AU27"/>
    <mergeCell ref="X26:Z26"/>
    <mergeCell ref="AE27:AI27"/>
    <mergeCell ref="U24:AC24"/>
    <mergeCell ref="U25:Z25"/>
    <mergeCell ref="AA25:AC26"/>
    <mergeCell ref="U26:W26"/>
    <mergeCell ref="AE42:AI42"/>
    <mergeCell ref="AE57:AI57"/>
    <mergeCell ref="AE87:AI87"/>
    <mergeCell ref="AE80:AH80"/>
    <mergeCell ref="AE75:AH75"/>
    <mergeCell ref="AE90:AH90"/>
    <mergeCell ref="AE50:AH50"/>
    <mergeCell ref="AE65:AH65"/>
    <mergeCell ref="AE95:AH95"/>
    <mergeCell ref="AE45:AH45"/>
    <mergeCell ref="AE60:AH60"/>
    <mergeCell ref="AE72:AI72"/>
    <mergeCell ref="A1:AD1"/>
    <mergeCell ref="A2:A4"/>
    <mergeCell ref="H2:N2"/>
    <mergeCell ref="R2:T3"/>
    <mergeCell ref="B2:G2"/>
    <mergeCell ref="U2:U4"/>
    <mergeCell ref="A24:A27"/>
    <mergeCell ref="B24:B27"/>
    <mergeCell ref="C24:D26"/>
    <mergeCell ref="E24:H24"/>
    <mergeCell ref="O2:Q2"/>
    <mergeCell ref="L24:Q24"/>
    <mergeCell ref="E25:F26"/>
    <mergeCell ref="G25:H26"/>
    <mergeCell ref="L25:N25"/>
    <mergeCell ref="O25:Q25"/>
    <mergeCell ref="N26:N27"/>
    <mergeCell ref="Q26:Q27"/>
    <mergeCell ref="K26:K27"/>
    <mergeCell ref="I24:K25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29DE-E9F1-4A54-A1F9-E7F541F978DF}">
  <sheetPr codeName="Sheet4">
    <tabColor theme="9"/>
  </sheetPr>
  <dimension ref="A1:AX89"/>
  <sheetViews>
    <sheetView topLeftCell="A2" zoomScale="85" zoomScaleNormal="85" workbookViewId="0">
      <pane ySplit="5" topLeftCell="A40" activePane="bottomLeft" state="frozen"/>
      <selection activeCell="A2" sqref="A2"/>
      <selection pane="bottomLeft" activeCell="S5" sqref="S5:T5"/>
    </sheetView>
  </sheetViews>
  <sheetFormatPr defaultColWidth="8.85546875" defaultRowHeight="15"/>
  <cols>
    <col min="1" max="1" width="17" style="34" bestFit="1" customWidth="1"/>
    <col min="2" max="2" width="6" style="34" customWidth="1"/>
    <col min="3" max="3" width="6.5703125" style="34" customWidth="1"/>
    <col min="4" max="4" width="7.28515625" style="34" customWidth="1"/>
    <col min="5" max="5" width="7" style="34" customWidth="1"/>
    <col min="6" max="6" width="9.7109375" style="34" customWidth="1"/>
    <col min="7" max="8" width="7.5703125" style="34" bestFit="1" customWidth="1"/>
    <col min="9" max="9" width="7.5703125" style="34" customWidth="1"/>
    <col min="10" max="10" width="8.42578125" style="34" bestFit="1" customWidth="1"/>
    <col min="11" max="12" width="8.42578125" style="34" customWidth="1"/>
    <col min="13" max="13" width="7.7109375" style="34" customWidth="1"/>
    <col min="14" max="14" width="8.28515625" style="34" bestFit="1" customWidth="1"/>
    <col min="15" max="17" width="8.28515625" style="34" customWidth="1"/>
    <col min="18" max="18" width="8.5703125" style="34" customWidth="1"/>
    <col min="19" max="25" width="8.42578125" style="34" customWidth="1"/>
    <col min="26" max="28" width="9" style="34" customWidth="1"/>
    <col min="29" max="29" width="22.5703125" style="34" bestFit="1" customWidth="1"/>
    <col min="30" max="30" width="8.85546875" style="34"/>
    <col min="31" max="31" width="17.28515625" style="34" bestFit="1" customWidth="1"/>
    <col min="32" max="32" width="16.140625" style="34" bestFit="1" customWidth="1"/>
    <col min="33" max="33" width="7.7109375" style="34" bestFit="1" customWidth="1"/>
    <col min="34" max="34" width="6.42578125" style="34" customWidth="1"/>
    <col min="35" max="35" width="7.5703125" style="34" bestFit="1" customWidth="1"/>
    <col min="36" max="36" width="8.28515625" style="34" customWidth="1"/>
    <col min="37" max="37" width="6.7109375" style="34" customWidth="1"/>
    <col min="38" max="38" width="8" style="34" customWidth="1"/>
    <col min="39" max="42" width="3.7109375" style="34" bestFit="1" customWidth="1"/>
    <col min="43" max="49" width="8.85546875" style="34"/>
    <col min="50" max="50" width="9.140625" customWidth="1"/>
    <col min="51" max="16384" width="8.85546875" style="34"/>
  </cols>
  <sheetData>
    <row r="1" spans="1:38" ht="18.75">
      <c r="A1" s="377" t="s">
        <v>79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E1" s="42" t="s">
        <v>94</v>
      </c>
    </row>
    <row r="3" spans="1:38" ht="14.45" customHeight="1">
      <c r="A3" s="364" t="s">
        <v>138</v>
      </c>
      <c r="B3" s="364" t="s">
        <v>87</v>
      </c>
      <c r="C3" s="364" t="s">
        <v>139</v>
      </c>
      <c r="D3" s="364" t="s">
        <v>150</v>
      </c>
      <c r="E3" s="364" t="s">
        <v>140</v>
      </c>
      <c r="F3" s="367" t="s">
        <v>141</v>
      </c>
      <c r="G3" s="368"/>
      <c r="H3" s="368"/>
      <c r="I3" s="368"/>
      <c r="J3" s="368"/>
      <c r="K3" s="369"/>
      <c r="L3" s="371" t="s">
        <v>122</v>
      </c>
      <c r="M3" s="372"/>
      <c r="N3" s="372"/>
      <c r="O3" s="372"/>
      <c r="P3" s="373"/>
      <c r="Q3" s="371" t="s">
        <v>247</v>
      </c>
      <c r="R3" s="373"/>
      <c r="S3" s="367" t="s">
        <v>145</v>
      </c>
      <c r="T3" s="368"/>
      <c r="U3" s="368"/>
      <c r="V3" s="368"/>
      <c r="W3" s="368"/>
      <c r="X3" s="368"/>
      <c r="Y3" s="369"/>
      <c r="Z3" s="370" t="s">
        <v>123</v>
      </c>
      <c r="AA3" s="370"/>
      <c r="AB3" s="370"/>
      <c r="AC3" s="370"/>
    </row>
    <row r="4" spans="1:38" ht="14.45" customHeight="1">
      <c r="A4" s="365"/>
      <c r="B4" s="365"/>
      <c r="C4" s="365"/>
      <c r="D4" s="365"/>
      <c r="E4" s="365"/>
      <c r="F4" s="364" t="s">
        <v>142</v>
      </c>
      <c r="G4" s="370" t="s">
        <v>121</v>
      </c>
      <c r="H4" s="370"/>
      <c r="I4" s="371" t="s">
        <v>115</v>
      </c>
      <c r="J4" s="372"/>
      <c r="K4" s="373"/>
      <c r="L4" s="367" t="s">
        <v>264</v>
      </c>
      <c r="M4" s="369"/>
      <c r="N4" s="367" t="s">
        <v>256</v>
      </c>
      <c r="O4" s="369"/>
      <c r="P4" s="378" t="s">
        <v>41</v>
      </c>
      <c r="Q4" s="381"/>
      <c r="R4" s="382"/>
      <c r="S4" s="367" t="s">
        <v>112</v>
      </c>
      <c r="T4" s="368"/>
      <c r="U4" s="368"/>
      <c r="V4" s="369"/>
      <c r="W4" s="370" t="s">
        <v>113</v>
      </c>
      <c r="X4" s="370"/>
      <c r="Y4" s="378" t="s">
        <v>41</v>
      </c>
      <c r="Z4" s="370" t="s">
        <v>146</v>
      </c>
      <c r="AA4" s="370" t="s">
        <v>147</v>
      </c>
      <c r="AB4" s="370" t="s">
        <v>148</v>
      </c>
      <c r="AC4" s="370" t="s">
        <v>149</v>
      </c>
    </row>
    <row r="5" spans="1:38">
      <c r="A5" s="365"/>
      <c r="B5" s="365"/>
      <c r="C5" s="365"/>
      <c r="D5" s="365"/>
      <c r="E5" s="365"/>
      <c r="F5" s="365"/>
      <c r="G5" s="364" t="s">
        <v>112</v>
      </c>
      <c r="H5" s="364" t="s">
        <v>113</v>
      </c>
      <c r="I5" s="374"/>
      <c r="J5" s="375"/>
      <c r="K5" s="376"/>
      <c r="L5" s="364" t="s">
        <v>143</v>
      </c>
      <c r="M5" s="364" t="s">
        <v>144</v>
      </c>
      <c r="N5" s="364" t="s">
        <v>143</v>
      </c>
      <c r="O5" s="364" t="s">
        <v>144</v>
      </c>
      <c r="P5" s="379"/>
      <c r="Q5" s="374"/>
      <c r="R5" s="376"/>
      <c r="S5" s="367" t="s">
        <v>264</v>
      </c>
      <c r="T5" s="369"/>
      <c r="U5" s="367" t="s">
        <v>256</v>
      </c>
      <c r="V5" s="369"/>
      <c r="W5" s="364" t="s">
        <v>264</v>
      </c>
      <c r="X5" s="364" t="s">
        <v>256</v>
      </c>
      <c r="Y5" s="379"/>
      <c r="Z5" s="370"/>
      <c r="AA5" s="370"/>
      <c r="AB5" s="370"/>
      <c r="AC5" s="370"/>
      <c r="AL5" s="35"/>
    </row>
    <row r="6" spans="1:38">
      <c r="A6" s="366"/>
      <c r="B6" s="366"/>
      <c r="C6" s="366"/>
      <c r="D6" s="366"/>
      <c r="E6" s="366"/>
      <c r="F6" s="366"/>
      <c r="G6" s="366"/>
      <c r="H6" s="366"/>
      <c r="I6" s="201" t="s">
        <v>264</v>
      </c>
      <c r="J6" s="201" t="s">
        <v>256</v>
      </c>
      <c r="K6" s="202" t="s">
        <v>41</v>
      </c>
      <c r="L6" s="366"/>
      <c r="M6" s="366"/>
      <c r="N6" s="366"/>
      <c r="O6" s="366"/>
      <c r="P6" s="380"/>
      <c r="Q6" s="201" t="s">
        <v>264</v>
      </c>
      <c r="R6" s="201" t="s">
        <v>256</v>
      </c>
      <c r="S6" s="201" t="s">
        <v>143</v>
      </c>
      <c r="T6" s="201" t="s">
        <v>144</v>
      </c>
      <c r="U6" s="201" t="s">
        <v>143</v>
      </c>
      <c r="V6" s="201" t="s">
        <v>144</v>
      </c>
      <c r="W6" s="366"/>
      <c r="X6" s="366"/>
      <c r="Y6" s="380"/>
      <c r="Z6" s="201"/>
      <c r="AA6" s="201"/>
      <c r="AB6" s="201"/>
      <c r="AC6" s="201"/>
      <c r="AL6" s="35"/>
    </row>
    <row r="7" spans="1:38">
      <c r="A7" s="203" t="s">
        <v>152</v>
      </c>
      <c r="B7" s="203"/>
      <c r="C7" s="204"/>
      <c r="D7" s="204"/>
      <c r="E7" s="204"/>
      <c r="F7" s="205">
        <f t="shared" ref="F7:O7" si="0">F8+F14+F19+F21</f>
        <v>29.81592933333333</v>
      </c>
      <c r="G7" s="205">
        <f t="shared" si="0"/>
        <v>6.1894166666666655</v>
      </c>
      <c r="H7" s="205">
        <f t="shared" si="0"/>
        <v>13.552805999999999</v>
      </c>
      <c r="I7" s="205">
        <f t="shared" si="0"/>
        <v>3.4803086666666667</v>
      </c>
      <c r="J7" s="205">
        <f t="shared" si="0"/>
        <v>9.8403399999999994</v>
      </c>
      <c r="K7" s="205">
        <f t="shared" si="0"/>
        <v>13.320648666666665</v>
      </c>
      <c r="L7" s="205">
        <f t="shared" si="0"/>
        <v>1.855504</v>
      </c>
      <c r="M7" s="205">
        <f t="shared" si="0"/>
        <v>0</v>
      </c>
      <c r="N7" s="205">
        <f t="shared" si="0"/>
        <v>5.3140239999999999</v>
      </c>
      <c r="O7" s="205">
        <f t="shared" si="0"/>
        <v>4.3088500000000005</v>
      </c>
      <c r="P7" s="205">
        <f>L7+M7+N7+O7</f>
        <v>11.478377999999999</v>
      </c>
      <c r="Q7" s="205">
        <f>Q8+Q14+Q19+Q21</f>
        <v>4.3279846666666666</v>
      </c>
      <c r="R7" s="205">
        <f t="shared" ref="R7:Y7" si="1">R8+R14+R19+R21</f>
        <v>13.022300666666665</v>
      </c>
      <c r="S7" s="205">
        <f t="shared" si="1"/>
        <v>0.87612400000000012</v>
      </c>
      <c r="T7" s="205">
        <f>T8+T14+T19</f>
        <v>1.5940166666666666</v>
      </c>
      <c r="U7" s="205">
        <f t="shared" si="1"/>
        <v>5.3596399999999997</v>
      </c>
      <c r="V7" s="205">
        <f>V8+V14+V19</f>
        <v>4.216333333333333</v>
      </c>
      <c r="W7" s="205">
        <f>ABS(W8)+ABS(W14)+ABS(W19)+ABS(W21)</f>
        <v>0.8476760000000001</v>
      </c>
      <c r="X7" s="205">
        <f t="shared" si="1"/>
        <v>10.370845333333332</v>
      </c>
      <c r="Y7" s="205">
        <f t="shared" si="1"/>
        <v>18.33755133333333</v>
      </c>
      <c r="Z7" s="121"/>
      <c r="AA7" s="121"/>
      <c r="AB7" s="121"/>
      <c r="AC7" s="121"/>
      <c r="AL7" s="35"/>
    </row>
    <row r="8" spans="1:38">
      <c r="A8" s="206" t="s">
        <v>153</v>
      </c>
      <c r="B8" s="206" t="s">
        <v>43</v>
      </c>
      <c r="C8" s="204"/>
      <c r="D8" s="204"/>
      <c r="E8" s="204"/>
      <c r="F8" s="205">
        <f>G8+H8+J8</f>
        <v>27.976805999999996</v>
      </c>
      <c r="G8" s="205">
        <f>SUMPRODUCT($C$9:$C$13,G9:G13)/1000</f>
        <v>6.0059999999999993</v>
      </c>
      <c r="H8" s="205">
        <f>SUMPRODUCT($C$9:$C$13,H9:H13)/1000</f>
        <v>12.598585999999999</v>
      </c>
      <c r="I8" s="205">
        <f>SUMPRODUCT($C$9:$C$13,I9:I13)/1000</f>
        <v>3.1608719999999999</v>
      </c>
      <c r="J8" s="205">
        <f>SUMPRODUCT($C$9:$C$13,J9:J13)/1000</f>
        <v>9.3722199999999987</v>
      </c>
      <c r="K8" s="205">
        <f>I8+J8</f>
        <v>12.533091999999998</v>
      </c>
      <c r="L8" s="205">
        <f>SUMPRODUCT($D$9:$D$13,L9:L13)/1000</f>
        <v>1.7213039999999999</v>
      </c>
      <c r="M8" s="205">
        <f>SUMPRODUCT($E$9:$E$13,M9:M13)/1000</f>
        <v>0</v>
      </c>
      <c r="N8" s="205">
        <f>SUMPRODUCT($D$9:$D$13,N9:N13)/1000</f>
        <v>5.1065040000000002</v>
      </c>
      <c r="O8" s="205">
        <f>SUMPRODUCT($E$9:$E$13,O9:O13)/1000</f>
        <v>4.2542499999999999</v>
      </c>
      <c r="P8" s="205">
        <f>L8+M8+N8+O8</f>
        <v>11.082058</v>
      </c>
      <c r="Q8" s="205">
        <f>SUMPRODUCT($C$9:$C$13,Q9:Q13)/1000</f>
        <v>3.4085479999999997</v>
      </c>
      <c r="R8" s="205">
        <f>SUMPRODUCT($C$9:$C$13,R9:R13)/1000</f>
        <v>12.540813999999999</v>
      </c>
      <c r="S8" s="205">
        <f>SUMPRODUCT($D$9:$D$13,S9:S13)/1000</f>
        <v>0.137904</v>
      </c>
      <c r="T8" s="205">
        <f>SUMPRODUCT($E$9:$E$13,T9:T13)/1000</f>
        <v>1.5469999999999999</v>
      </c>
      <c r="U8" s="205">
        <f>SUMPRODUCT($D$9:$D$13,U9:U13)/1000</f>
        <v>5.0099399999999994</v>
      </c>
      <c r="V8" s="205">
        <f>SUMPRODUCT($E$9:$E$13,V9:V13)/1000</f>
        <v>4.1632499999999997</v>
      </c>
      <c r="W8" s="205">
        <f>SUMPRODUCT($C$9:$C$13,W9:W13)/1000</f>
        <v>-0.24767599999999998</v>
      </c>
      <c r="X8" s="205">
        <f>SUMPRODUCT($C$9:$C$13,X9:X13)/1000</f>
        <v>9.4299919999999986</v>
      </c>
      <c r="Y8" s="205">
        <f>F8-P8</f>
        <v>16.894747999999996</v>
      </c>
      <c r="Z8" s="188"/>
      <c r="AA8" s="121"/>
      <c r="AB8" s="121"/>
      <c r="AC8" s="121"/>
    </row>
    <row r="9" spans="1:38">
      <c r="A9" s="207" t="s">
        <v>308</v>
      </c>
      <c r="B9" s="207" t="s">
        <v>88</v>
      </c>
      <c r="C9" s="208">
        <f>D9+E9</f>
        <v>1201.1999999999998</v>
      </c>
      <c r="D9" s="208">
        <f>1.2*QSTBKT!B6</f>
        <v>655.19999999999993</v>
      </c>
      <c r="E9" s="208">
        <f>1.2*QSTBKT!B8</f>
        <v>546</v>
      </c>
      <c r="F9" s="209">
        <f>ChiLenhHCKT!D17</f>
        <v>19</v>
      </c>
      <c r="G9" s="209">
        <f>ChiLenhHCKT!G17</f>
        <v>5</v>
      </c>
      <c r="H9" s="209">
        <f>ChiLenhHCKT!H17</f>
        <v>9</v>
      </c>
      <c r="I9" s="209">
        <f>PhanCapVCHC!G6</f>
        <v>2</v>
      </c>
      <c r="J9" s="209">
        <f>PhanCapVCHC!H6</f>
        <v>3</v>
      </c>
      <c r="K9" s="209">
        <f>ChiLenhHCKT!F17</f>
        <v>5</v>
      </c>
      <c r="L9" s="209">
        <f>TinhHinhVC!D17</f>
        <v>2</v>
      </c>
      <c r="M9" s="209">
        <v>0</v>
      </c>
      <c r="N9" s="209">
        <f>TinhHinhVC!E17</f>
        <v>3</v>
      </c>
      <c r="O9" s="187">
        <v>3</v>
      </c>
      <c r="P9" s="209"/>
      <c r="Q9" s="209">
        <f>PhanCapVCHC!D6</f>
        <v>2</v>
      </c>
      <c r="R9" s="209">
        <f>PhanCapVCHC!E6</f>
        <v>5</v>
      </c>
      <c r="S9" s="209">
        <f t="shared" ref="S9:S21" si="2">Q9-L9</f>
        <v>0</v>
      </c>
      <c r="T9" s="209">
        <f t="shared" ref="T9:T20" si="3">Q9-M9</f>
        <v>2</v>
      </c>
      <c r="U9" s="209">
        <f t="shared" ref="U9:U21" si="4">G9+R9-N9</f>
        <v>7</v>
      </c>
      <c r="V9" s="209">
        <f t="shared" ref="V9:V20" si="5">G9+R9-O9</f>
        <v>7</v>
      </c>
      <c r="W9" s="209">
        <f t="shared" ref="W9:W21" si="6">I9-Q9</f>
        <v>0</v>
      </c>
      <c r="X9" s="209">
        <f t="shared" ref="X9:X21" si="7">H9+J9-R9</f>
        <v>7</v>
      </c>
      <c r="Y9" s="209"/>
      <c r="Z9" s="120"/>
      <c r="AA9" s="120"/>
      <c r="AB9" s="120"/>
      <c r="AC9" s="120"/>
    </row>
    <row r="10" spans="1:38">
      <c r="A10" s="210" t="s">
        <v>151</v>
      </c>
      <c r="B10" s="207" t="s">
        <v>88</v>
      </c>
      <c r="C10" s="208">
        <f t="shared" ref="C10:C20" si="8">D10+E10</f>
        <v>750.75</v>
      </c>
      <c r="D10" s="211">
        <f>0.75*QSTBKT!B6</f>
        <v>409.5</v>
      </c>
      <c r="E10" s="211">
        <f>0.75*QSTBKT!B8</f>
        <v>341.25</v>
      </c>
      <c r="F10" s="209">
        <f>ChiLenhHCKT!D18</f>
        <v>4</v>
      </c>
      <c r="G10" s="209">
        <f>ChiLenhHCKT!G18</f>
        <v>0</v>
      </c>
      <c r="H10" s="209">
        <f>ChiLenhHCKT!H18</f>
        <v>2</v>
      </c>
      <c r="I10" s="209">
        <f>PhanCapVCHC!G7</f>
        <v>1</v>
      </c>
      <c r="J10" s="209">
        <f>PhanCapVCHC!H7</f>
        <v>1</v>
      </c>
      <c r="K10" s="209">
        <f>ChiLenhHCKT!F18</f>
        <v>2</v>
      </c>
      <c r="L10" s="209">
        <f>TinhHinhVC!D18</f>
        <v>1</v>
      </c>
      <c r="M10" s="209">
        <v>0</v>
      </c>
      <c r="N10" s="209">
        <f>TinhHinhVC!E18</f>
        <v>1</v>
      </c>
      <c r="O10" s="187">
        <v>1</v>
      </c>
      <c r="P10" s="209"/>
      <c r="Q10" s="209">
        <f>PhanCapVCHC!D7</f>
        <v>1</v>
      </c>
      <c r="R10" s="209">
        <f>PhanCapVCHC!E7</f>
        <v>2</v>
      </c>
      <c r="S10" s="209">
        <f t="shared" si="2"/>
        <v>0</v>
      </c>
      <c r="T10" s="209">
        <f t="shared" si="3"/>
        <v>1</v>
      </c>
      <c r="U10" s="209">
        <f t="shared" si="4"/>
        <v>1</v>
      </c>
      <c r="V10" s="209">
        <f t="shared" si="5"/>
        <v>1</v>
      </c>
      <c r="W10" s="209">
        <f t="shared" si="6"/>
        <v>0</v>
      </c>
      <c r="X10" s="209">
        <f t="shared" si="7"/>
        <v>1</v>
      </c>
      <c r="Y10" s="209"/>
      <c r="Z10" s="120"/>
      <c r="AA10" s="120"/>
      <c r="AB10" s="120"/>
      <c r="AC10" s="120"/>
    </row>
    <row r="11" spans="1:38">
      <c r="A11" s="210" t="s">
        <v>80</v>
      </c>
      <c r="B11" s="208" t="s">
        <v>89</v>
      </c>
      <c r="C11" s="208">
        <f t="shared" si="8"/>
        <v>2.5739999999999998</v>
      </c>
      <c r="D11" s="211">
        <f>0.01*QSTBKT!B6*1.8/7</f>
        <v>1.4039999999999999</v>
      </c>
      <c r="E11" s="211">
        <f>0.01*QSTBKT!B8*1.8/7</f>
        <v>1.17</v>
      </c>
      <c r="F11" s="209">
        <f>ChiLenhHCKT!D19</f>
        <v>22</v>
      </c>
      <c r="G11" s="209">
        <f>ChiLenhHCKT!G19</f>
        <v>0</v>
      </c>
      <c r="H11" s="209">
        <f>ChiLenhHCKT!H19</f>
        <v>14</v>
      </c>
      <c r="I11" s="209">
        <f>PhanCapVCHC!G8</f>
        <v>3</v>
      </c>
      <c r="J11" s="209">
        <f>PhanCapVCHC!H8</f>
        <v>5</v>
      </c>
      <c r="K11" s="209">
        <f>ChiLenhHCKT!F19</f>
        <v>8</v>
      </c>
      <c r="L11" s="209">
        <f>TinhHinhVC!D19</f>
        <v>1</v>
      </c>
      <c r="M11" s="209">
        <v>0</v>
      </c>
      <c r="N11" s="209">
        <f>TinhHinhVC!E19</f>
        <v>1</v>
      </c>
      <c r="O11" s="187">
        <v>0</v>
      </c>
      <c r="P11" s="209"/>
      <c r="Q11" s="209">
        <f>PhanCapVCHC!D8</f>
        <v>2</v>
      </c>
      <c r="R11" s="209">
        <f>PhanCapVCHC!E8</f>
        <v>11</v>
      </c>
      <c r="S11" s="209">
        <f t="shared" si="2"/>
        <v>1</v>
      </c>
      <c r="T11" s="276" t="s">
        <v>236</v>
      </c>
      <c r="U11" s="209">
        <f t="shared" si="4"/>
        <v>10</v>
      </c>
      <c r="V11" s="276" t="s">
        <v>236</v>
      </c>
      <c r="W11" s="209">
        <f t="shared" si="6"/>
        <v>1</v>
      </c>
      <c r="X11" s="209">
        <f t="shared" si="7"/>
        <v>8</v>
      </c>
      <c r="Y11" s="209"/>
      <c r="Z11" s="120"/>
      <c r="AA11" s="120"/>
      <c r="AB11" s="120"/>
      <c r="AC11" s="120"/>
    </row>
    <row r="12" spans="1:38">
      <c r="A12" s="210" t="s">
        <v>85</v>
      </c>
      <c r="B12" s="208" t="s">
        <v>89</v>
      </c>
      <c r="C12" s="208">
        <f t="shared" si="8"/>
        <v>20.02</v>
      </c>
      <c r="D12" s="211">
        <f>0.01*QSTBKT!B6*2</f>
        <v>10.92</v>
      </c>
      <c r="E12" s="211">
        <f>0.01*QSTBKT!B8*2</f>
        <v>9.1</v>
      </c>
      <c r="F12" s="209">
        <f>ChiLenhHCKT!D20</f>
        <v>105</v>
      </c>
      <c r="G12" s="209">
        <f>ChiLenhHCKT!G20</f>
        <v>0</v>
      </c>
      <c r="H12" s="209">
        <f>ChiLenhHCKT!H20</f>
        <v>5</v>
      </c>
      <c r="I12" s="209">
        <f>PhanCapVCHC!G9</f>
        <v>0</v>
      </c>
      <c r="J12" s="209">
        <f>PhanCapVCHC!H9</f>
        <v>100</v>
      </c>
      <c r="K12" s="209">
        <f>ChiLenhHCKT!F20</f>
        <v>100</v>
      </c>
      <c r="L12" s="209">
        <f>TinhHinhVC!D20</f>
        <v>0</v>
      </c>
      <c r="M12" s="209">
        <v>0</v>
      </c>
      <c r="N12" s="209">
        <f>TinhHinhVC!E20</f>
        <v>100</v>
      </c>
      <c r="O12" s="187">
        <v>100</v>
      </c>
      <c r="P12" s="209"/>
      <c r="Q12" s="209">
        <f>PhanCapVCHC!D9</f>
        <v>5</v>
      </c>
      <c r="R12" s="209">
        <f>PhanCapVCHC!E9</f>
        <v>100</v>
      </c>
      <c r="S12" s="209">
        <f t="shared" si="2"/>
        <v>5</v>
      </c>
      <c r="T12" s="209">
        <f t="shared" si="3"/>
        <v>5</v>
      </c>
      <c r="U12" s="209">
        <f t="shared" si="4"/>
        <v>0</v>
      </c>
      <c r="V12" s="209">
        <f t="shared" si="5"/>
        <v>0</v>
      </c>
      <c r="W12" s="209">
        <f t="shared" si="6"/>
        <v>-5</v>
      </c>
      <c r="X12" s="209">
        <f t="shared" si="7"/>
        <v>5</v>
      </c>
      <c r="Y12" s="209"/>
      <c r="Z12" s="120"/>
      <c r="AA12" s="120"/>
      <c r="AB12" s="120"/>
      <c r="AC12" s="120"/>
    </row>
    <row r="13" spans="1:38">
      <c r="A13" s="212" t="s">
        <v>82</v>
      </c>
      <c r="B13" s="208" t="s">
        <v>89</v>
      </c>
      <c r="C13" s="208">
        <f t="shared" si="8"/>
        <v>30.029999999999998</v>
      </c>
      <c r="D13" s="211">
        <f>0.01*QSTBKT!B6*3</f>
        <v>16.38</v>
      </c>
      <c r="E13" s="211">
        <f>0.01*QSTBKT!B8*3</f>
        <v>13.649999999999999</v>
      </c>
      <c r="F13" s="209">
        <f>ChiLenhHCKT!D21</f>
        <v>105</v>
      </c>
      <c r="G13" s="209">
        <f>ChiLenhHCKT!G21</f>
        <v>0</v>
      </c>
      <c r="H13" s="209">
        <f>ChiLenhHCKT!H21</f>
        <v>5</v>
      </c>
      <c r="I13" s="209">
        <f>PhanCapVCHC!G10</f>
        <v>0</v>
      </c>
      <c r="J13" s="209">
        <f>PhanCapVCHC!H10</f>
        <v>100</v>
      </c>
      <c r="K13" s="209">
        <f>ChiLenhHCKT!F21</f>
        <v>100</v>
      </c>
      <c r="L13" s="209">
        <f>TinhHinhVC!D21</f>
        <v>0</v>
      </c>
      <c r="M13" s="209">
        <v>0</v>
      </c>
      <c r="N13" s="209">
        <f>TinhHinhVC!E21</f>
        <v>100</v>
      </c>
      <c r="O13" s="187">
        <v>100</v>
      </c>
      <c r="P13" s="209"/>
      <c r="Q13" s="209">
        <f>PhanCapVCHC!D10</f>
        <v>5</v>
      </c>
      <c r="R13" s="209">
        <f>PhanCapVCHC!E10</f>
        <v>100</v>
      </c>
      <c r="S13" s="209">
        <f t="shared" si="2"/>
        <v>5</v>
      </c>
      <c r="T13" s="209">
        <f t="shared" si="3"/>
        <v>5</v>
      </c>
      <c r="U13" s="209">
        <f t="shared" si="4"/>
        <v>0</v>
      </c>
      <c r="V13" s="209">
        <f t="shared" si="5"/>
        <v>0</v>
      </c>
      <c r="W13" s="209">
        <f t="shared" si="6"/>
        <v>-5</v>
      </c>
      <c r="X13" s="209">
        <f t="shared" si="7"/>
        <v>5</v>
      </c>
      <c r="Y13" s="209"/>
      <c r="Z13" s="120"/>
      <c r="AA13" s="120"/>
      <c r="AB13" s="120"/>
      <c r="AC13" s="120"/>
    </row>
    <row r="14" spans="1:38">
      <c r="A14" s="213" t="s">
        <v>154</v>
      </c>
      <c r="B14" s="213" t="s">
        <v>43</v>
      </c>
      <c r="C14" s="204"/>
      <c r="D14" s="205"/>
      <c r="E14" s="205"/>
      <c r="F14" s="205">
        <f>G14+H14+J14</f>
        <v>0.42214000000000002</v>
      </c>
      <c r="G14" s="205">
        <f>SUMPRODUCT($C$15:$C$18,G15:G18)/1000</f>
        <v>0</v>
      </c>
      <c r="H14" s="205">
        <f>SUMPRODUCT($C$15:$C$18,H15:H18)/1000</f>
        <v>0.30407000000000001</v>
      </c>
      <c r="I14" s="205">
        <f>SUMPRODUCT($C$15:$C$18,I15:I18)/1000</f>
        <v>8.6070000000000008E-2</v>
      </c>
      <c r="J14" s="205">
        <f>SUMPRODUCT($C$15:$C$18,J15:J18)/1000</f>
        <v>0.11807000000000001</v>
      </c>
      <c r="K14" s="205">
        <f>SUMPRODUCT($C$15:$C$18,K15:K18)/1000</f>
        <v>0.20414000000000002</v>
      </c>
      <c r="L14" s="205">
        <f>(SUMPRODUCT($C$15:$C$17,L15:L17)+L18*$D$18)/1000</f>
        <v>1.6E-2</v>
      </c>
      <c r="M14" s="205">
        <f>(SUMPRODUCT($C$15:$C$17,M15:M17)+M18*$E$18)/1000</f>
        <v>0</v>
      </c>
      <c r="N14" s="205">
        <f>(SUMPRODUCT($C$15:$C$17,N15:N17)+N18*$D$18)/1000</f>
        <v>8.022E-2</v>
      </c>
      <c r="O14" s="205">
        <f>(SUMPRODUCT($C$15:$C$17,O15:O17)+O18*$E$18)/1000</f>
        <v>3.1850000000000003E-2</v>
      </c>
      <c r="P14" s="205">
        <f>L14+M14+N14+O14</f>
        <v>0.12807000000000002</v>
      </c>
      <c r="Q14" s="205">
        <f>SUMPRODUCT($C$15:$C$18,Q15:Q18)/1000</f>
        <v>8.6070000000000008E-2</v>
      </c>
      <c r="R14" s="205">
        <f>SUMPRODUCT($C$15:$C$18,R15:R18)/1000</f>
        <v>0.19807</v>
      </c>
      <c r="S14" s="205">
        <f>(SUMPRODUCT($C$15:$C$17,S15:S17)+S18*$D$18)/1000</f>
        <v>3.8220000000000004E-2</v>
      </c>
      <c r="T14" s="205">
        <f>(SUMPRODUCT($C$15:$C$17,T15:T17)+T18*$E$18)/1000</f>
        <v>3.1850000000000003E-2</v>
      </c>
      <c r="U14" s="205">
        <f>(SUMPRODUCT($C$15:$C$17,U15:U17)+U18*$D$18)/1000</f>
        <v>8.5999999999999993E-2</v>
      </c>
      <c r="V14" s="205">
        <f>(SUMPRODUCT($C$15:$C$17,V15:V17)+V18*$E$18)/1000</f>
        <v>0</v>
      </c>
      <c r="W14" s="205">
        <f>SUMPRODUCT($C$15:$C$18,W15:W18)/1000</f>
        <v>0</v>
      </c>
      <c r="X14" s="205">
        <f>SUMPRODUCT($C$15:$C$18,X15:X18)/1000</f>
        <v>0.22406999999999999</v>
      </c>
      <c r="Y14" s="205">
        <f>F14-P14</f>
        <v>0.29407</v>
      </c>
      <c r="Z14" s="122"/>
      <c r="AA14" s="122"/>
      <c r="AB14" s="122"/>
      <c r="AC14" s="122"/>
    </row>
    <row r="15" spans="1:38">
      <c r="A15" s="210" t="s">
        <v>155</v>
      </c>
      <c r="B15" s="210" t="s">
        <v>90</v>
      </c>
      <c r="C15" s="208">
        <v>6</v>
      </c>
      <c r="D15" s="209">
        <v>6</v>
      </c>
      <c r="E15" s="209">
        <v>6</v>
      </c>
      <c r="F15" s="209">
        <f>ChiLenhHCKT!D23</f>
        <v>14</v>
      </c>
      <c r="G15" s="209">
        <f>ChiLenhHCKT!G23</f>
        <v>0</v>
      </c>
      <c r="H15" s="209">
        <f>ChiLenhHCKT!H23</f>
        <v>12</v>
      </c>
      <c r="I15" s="209">
        <f>PhanCapVCHC!G12</f>
        <v>1</v>
      </c>
      <c r="J15" s="209">
        <f>PhanCapVCHC!H12</f>
        <v>1</v>
      </c>
      <c r="K15" s="209">
        <f>ChiLenhHCKT!F23</f>
        <v>2</v>
      </c>
      <c r="L15" s="209">
        <f>TinhHinhVC!D23</f>
        <v>1</v>
      </c>
      <c r="M15" s="209">
        <v>0</v>
      </c>
      <c r="N15" s="209">
        <f>TinhHinhVC!E23</f>
        <v>1</v>
      </c>
      <c r="O15" s="187">
        <v>0</v>
      </c>
      <c r="P15" s="209"/>
      <c r="Q15" s="209">
        <f>PhanCapVCHC!D12</f>
        <v>1</v>
      </c>
      <c r="R15" s="209">
        <f>PhanCapVCHC!E12</f>
        <v>3</v>
      </c>
      <c r="S15" s="209">
        <f t="shared" si="2"/>
        <v>0</v>
      </c>
      <c r="T15" s="276" t="s">
        <v>236</v>
      </c>
      <c r="U15" s="209">
        <f t="shared" si="4"/>
        <v>2</v>
      </c>
      <c r="V15" s="276" t="s">
        <v>236</v>
      </c>
      <c r="W15" s="209">
        <f t="shared" si="6"/>
        <v>0</v>
      </c>
      <c r="X15" s="209">
        <f t="shared" si="7"/>
        <v>10</v>
      </c>
      <c r="Y15" s="209"/>
      <c r="Z15" s="120"/>
      <c r="AA15" s="120"/>
      <c r="AB15" s="120"/>
      <c r="AC15" s="120"/>
    </row>
    <row r="16" spans="1:38">
      <c r="A16" s="210" t="s">
        <v>156</v>
      </c>
      <c r="B16" s="210" t="s">
        <v>90</v>
      </c>
      <c r="C16" s="208">
        <v>4</v>
      </c>
      <c r="D16" s="209">
        <v>4</v>
      </c>
      <c r="E16" s="209">
        <v>4</v>
      </c>
      <c r="F16" s="209">
        <f>ChiLenhHCKT!D24</f>
        <v>32</v>
      </c>
      <c r="G16" s="209">
        <f>ChiLenhHCKT!G24</f>
        <v>0</v>
      </c>
      <c r="H16" s="209">
        <f>ChiLenhHCKT!H24</f>
        <v>24</v>
      </c>
      <c r="I16" s="209">
        <f>PhanCapVCHC!G13</f>
        <v>2</v>
      </c>
      <c r="J16" s="209">
        <f>PhanCapVCHC!H13</f>
        <v>6</v>
      </c>
      <c r="K16" s="209">
        <f>ChiLenhHCKT!F24</f>
        <v>8</v>
      </c>
      <c r="L16" s="209">
        <f>TinhHinhVC!D24</f>
        <v>2</v>
      </c>
      <c r="M16" s="209">
        <v>0</v>
      </c>
      <c r="N16" s="209">
        <f>TinhHinhVC!E24</f>
        <v>5</v>
      </c>
      <c r="O16" s="187">
        <v>0</v>
      </c>
      <c r="P16" s="209"/>
      <c r="Q16" s="209">
        <f>PhanCapVCHC!D13</f>
        <v>2</v>
      </c>
      <c r="R16" s="209">
        <f>PhanCapVCHC!E13</f>
        <v>16</v>
      </c>
      <c r="S16" s="209">
        <f t="shared" si="2"/>
        <v>0</v>
      </c>
      <c r="T16" s="276" t="s">
        <v>236</v>
      </c>
      <c r="U16" s="209">
        <f t="shared" si="4"/>
        <v>11</v>
      </c>
      <c r="V16" s="276" t="s">
        <v>236</v>
      </c>
      <c r="W16" s="209">
        <f t="shared" si="6"/>
        <v>0</v>
      </c>
      <c r="X16" s="209">
        <f t="shared" si="7"/>
        <v>14</v>
      </c>
      <c r="Y16" s="209"/>
      <c r="Z16" s="120"/>
      <c r="AA16" s="120"/>
      <c r="AB16" s="120"/>
      <c r="AC16" s="120"/>
    </row>
    <row r="17" spans="1:42">
      <c r="A17" s="210" t="s">
        <v>157</v>
      </c>
      <c r="B17" s="210" t="s">
        <v>90</v>
      </c>
      <c r="C17" s="208">
        <v>2</v>
      </c>
      <c r="D17" s="209">
        <v>2</v>
      </c>
      <c r="E17" s="209">
        <v>2</v>
      </c>
      <c r="F17" s="209">
        <f>ChiLenhHCKT!D25</f>
        <v>43</v>
      </c>
      <c r="G17" s="209">
        <f>ChiLenhHCKT!G25</f>
        <v>0</v>
      </c>
      <c r="H17" s="209">
        <f>ChiLenhHCKT!H25</f>
        <v>33</v>
      </c>
      <c r="I17" s="209">
        <f>PhanCapVCHC!G14</f>
        <v>1</v>
      </c>
      <c r="J17" s="209">
        <f>PhanCapVCHC!H14</f>
        <v>9</v>
      </c>
      <c r="K17" s="209">
        <f>ChiLenhHCKT!F25</f>
        <v>10</v>
      </c>
      <c r="L17" s="209">
        <f>TinhHinhVC!D25</f>
        <v>1</v>
      </c>
      <c r="M17" s="209">
        <v>0</v>
      </c>
      <c r="N17" s="209">
        <f>TinhHinhVC!E25</f>
        <v>8</v>
      </c>
      <c r="O17" s="187">
        <v>0</v>
      </c>
      <c r="P17" s="209"/>
      <c r="Q17" s="209">
        <f>PhanCapVCHC!D14</f>
        <v>1</v>
      </c>
      <c r="R17" s="209">
        <f>PhanCapVCHC!E14</f>
        <v>23</v>
      </c>
      <c r="S17" s="209">
        <f t="shared" si="2"/>
        <v>0</v>
      </c>
      <c r="T17" s="276" t="s">
        <v>236</v>
      </c>
      <c r="U17" s="209">
        <f t="shared" si="4"/>
        <v>15</v>
      </c>
      <c r="V17" s="276" t="s">
        <v>236</v>
      </c>
      <c r="W17" s="209">
        <f t="shared" si="6"/>
        <v>0</v>
      </c>
      <c r="X17" s="209">
        <f t="shared" si="7"/>
        <v>19</v>
      </c>
      <c r="Y17" s="209"/>
      <c r="Z17" s="120"/>
      <c r="AA17" s="120"/>
      <c r="AB17" s="120"/>
      <c r="AC17" s="120"/>
    </row>
    <row r="18" spans="1:42">
      <c r="A18" s="210" t="s">
        <v>83</v>
      </c>
      <c r="B18" s="210" t="s">
        <v>91</v>
      </c>
      <c r="C18" s="208">
        <f t="shared" si="8"/>
        <v>70.070000000000007</v>
      </c>
      <c r="D18" s="211">
        <f>0.07*QSTBKT!B6</f>
        <v>38.220000000000006</v>
      </c>
      <c r="E18" s="211">
        <f>0.07*QSTBKT!B8</f>
        <v>31.85</v>
      </c>
      <c r="F18" s="209">
        <f>ChiLenhHCKT!D26</f>
        <v>3</v>
      </c>
      <c r="G18" s="209">
        <f>ChiLenhHCKT!G26</f>
        <v>0</v>
      </c>
      <c r="H18" s="209">
        <f>ChiLenhHCKT!H26</f>
        <v>1</v>
      </c>
      <c r="I18" s="209">
        <f>PhanCapVCHC!G15</f>
        <v>1</v>
      </c>
      <c r="J18" s="209">
        <f>PhanCapVCHC!H15</f>
        <v>1</v>
      </c>
      <c r="K18" s="209">
        <f>ChiLenhHCKT!F26</f>
        <v>2</v>
      </c>
      <c r="L18" s="209">
        <f>TinhHinhVC!D26</f>
        <v>0</v>
      </c>
      <c r="M18" s="209">
        <v>0</v>
      </c>
      <c r="N18" s="209">
        <f>TinhHinhVC!E26</f>
        <v>1</v>
      </c>
      <c r="O18" s="187">
        <v>1</v>
      </c>
      <c r="P18" s="209"/>
      <c r="Q18" s="209">
        <f>PhanCapVCHC!D15</f>
        <v>1</v>
      </c>
      <c r="R18" s="209">
        <f>PhanCapVCHC!E15</f>
        <v>1</v>
      </c>
      <c r="S18" s="209">
        <f t="shared" si="2"/>
        <v>1</v>
      </c>
      <c r="T18" s="209">
        <f t="shared" si="3"/>
        <v>1</v>
      </c>
      <c r="U18" s="209">
        <f t="shared" si="4"/>
        <v>0</v>
      </c>
      <c r="V18" s="209">
        <f t="shared" si="5"/>
        <v>0</v>
      </c>
      <c r="W18" s="209">
        <f t="shared" si="6"/>
        <v>0</v>
      </c>
      <c r="X18" s="209">
        <f t="shared" si="7"/>
        <v>1</v>
      </c>
      <c r="Y18" s="209"/>
      <c r="Z18" s="120"/>
      <c r="AA18" s="120"/>
      <c r="AB18" s="120"/>
      <c r="AC18" s="120"/>
    </row>
    <row r="19" spans="1:42">
      <c r="A19" s="213" t="s">
        <v>158</v>
      </c>
      <c r="B19" s="213" t="s">
        <v>43</v>
      </c>
      <c r="C19" s="204"/>
      <c r="D19" s="205"/>
      <c r="E19" s="205"/>
      <c r="F19" s="205">
        <f t="shared" ref="F19:K19" si="9">$C$20*F20/1000</f>
        <v>0.31698333333333334</v>
      </c>
      <c r="G19" s="205">
        <f t="shared" si="9"/>
        <v>8.3416666666666667E-2</v>
      </c>
      <c r="H19" s="205">
        <f t="shared" si="9"/>
        <v>0.15015000000000001</v>
      </c>
      <c r="I19" s="205">
        <f t="shared" si="9"/>
        <v>3.3366666666666669E-2</v>
      </c>
      <c r="J19" s="205">
        <f t="shared" si="9"/>
        <v>5.0049999999999997E-2</v>
      </c>
      <c r="K19" s="205">
        <f t="shared" si="9"/>
        <v>8.3416666666666667E-2</v>
      </c>
      <c r="L19" s="205">
        <f>L20*$D$20/1000</f>
        <v>1.8200000000000001E-2</v>
      </c>
      <c r="M19" s="215">
        <f>M20*$E$20</f>
        <v>0</v>
      </c>
      <c r="N19" s="205">
        <f>N20*$D$20/1000</f>
        <v>2.7299999999999998E-2</v>
      </c>
      <c r="O19" s="205">
        <f>O20*$E$20/1000</f>
        <v>2.2749999999999999E-2</v>
      </c>
      <c r="P19" s="205">
        <f>L19+M19+N19+O19</f>
        <v>6.8250000000000005E-2</v>
      </c>
      <c r="Q19" s="205">
        <f>$C$20*Q20/1000</f>
        <v>3.3366666666666669E-2</v>
      </c>
      <c r="R19" s="205">
        <f>$C$20*R20/1000</f>
        <v>8.3416666666666667E-2</v>
      </c>
      <c r="S19" s="214">
        <f>S20*$D$20/1000</f>
        <v>0</v>
      </c>
      <c r="T19" s="205">
        <f>T20*$E$20/1000</f>
        <v>1.5166666666666667E-2</v>
      </c>
      <c r="U19" s="205">
        <f>U20*$D$20/1000</f>
        <v>6.3699999999999993E-2</v>
      </c>
      <c r="V19" s="205">
        <f>V20*$E$20/1000</f>
        <v>5.308333333333333E-2</v>
      </c>
      <c r="W19" s="205">
        <f>$C$20*W20/1000</f>
        <v>0</v>
      </c>
      <c r="X19" s="205">
        <f>$C$20*X20/1000</f>
        <v>0.11678333333333334</v>
      </c>
      <c r="Y19" s="205">
        <f>F19-P19</f>
        <v>0.24873333333333333</v>
      </c>
      <c r="Z19" s="122"/>
      <c r="AA19" s="122"/>
      <c r="AB19" s="122"/>
      <c r="AC19" s="122"/>
    </row>
    <row r="20" spans="1:42" ht="13.9" customHeight="1">
      <c r="A20" s="210" t="s">
        <v>84</v>
      </c>
      <c r="B20" s="210" t="s">
        <v>160</v>
      </c>
      <c r="C20" s="208">
        <f t="shared" si="8"/>
        <v>16.683333333333334</v>
      </c>
      <c r="D20" s="211">
        <f>QSTBKT!B6*0.5/30</f>
        <v>9.1</v>
      </c>
      <c r="E20" s="211">
        <f>QSTBKT!B8*0.5/30</f>
        <v>7.583333333333333</v>
      </c>
      <c r="F20" s="209">
        <f>ChiLenhHCKT!D28</f>
        <v>19</v>
      </c>
      <c r="G20" s="209">
        <f>ChiLenhHCKT!G28</f>
        <v>5</v>
      </c>
      <c r="H20" s="209">
        <f>ChiLenhHCKT!H28</f>
        <v>9</v>
      </c>
      <c r="I20" s="209">
        <f>PhanCapVCHC!G17</f>
        <v>2</v>
      </c>
      <c r="J20" s="209">
        <f>PhanCapVCHC!H17</f>
        <v>3</v>
      </c>
      <c r="K20" s="209">
        <f>ChiLenhHCKT!F28</f>
        <v>5</v>
      </c>
      <c r="L20" s="209">
        <f>TinhHinhVC!D28</f>
        <v>2</v>
      </c>
      <c r="M20" s="209">
        <v>0</v>
      </c>
      <c r="N20" s="209">
        <f>TinhHinhVC!E28</f>
        <v>3</v>
      </c>
      <c r="O20" s="187">
        <v>3</v>
      </c>
      <c r="P20" s="209"/>
      <c r="Q20" s="209">
        <f>PhanCapVCHC!D17</f>
        <v>2</v>
      </c>
      <c r="R20" s="209">
        <f>PhanCapVCHC!E17</f>
        <v>5</v>
      </c>
      <c r="S20" s="209">
        <f t="shared" si="2"/>
        <v>0</v>
      </c>
      <c r="T20" s="209">
        <f t="shared" si="3"/>
        <v>2</v>
      </c>
      <c r="U20" s="209">
        <f t="shared" si="4"/>
        <v>7</v>
      </c>
      <c r="V20" s="209">
        <f t="shared" si="5"/>
        <v>7</v>
      </c>
      <c r="W20" s="209">
        <f t="shared" si="6"/>
        <v>0</v>
      </c>
      <c r="X20" s="209">
        <f t="shared" si="7"/>
        <v>7</v>
      </c>
      <c r="Y20" s="209"/>
      <c r="Z20" s="120"/>
      <c r="AA20" s="120"/>
      <c r="AB20" s="120"/>
      <c r="AC20" s="120"/>
      <c r="AE20" s="75"/>
    </row>
    <row r="21" spans="1:42" ht="13.9" customHeight="1">
      <c r="A21" s="213" t="s">
        <v>159</v>
      </c>
      <c r="B21" s="213" t="s">
        <v>43</v>
      </c>
      <c r="C21" s="211"/>
      <c r="D21" s="211"/>
      <c r="E21" s="211"/>
      <c r="F21" s="215">
        <f>ChiLenhHCKT!D29</f>
        <v>1.1000000000000001</v>
      </c>
      <c r="G21" s="215">
        <f>ChiLenhHCKT!G29</f>
        <v>0.1</v>
      </c>
      <c r="H21" s="215">
        <f>ChiLenhHCKT!H29</f>
        <v>0.5</v>
      </c>
      <c r="I21" s="215">
        <f>PhanCapVCHC!G18</f>
        <v>0.2</v>
      </c>
      <c r="J21" s="215">
        <f>PhanCapVCHC!H18</f>
        <v>0.3</v>
      </c>
      <c r="K21" s="215">
        <f>ChiLenhHCKT!F29</f>
        <v>0.5</v>
      </c>
      <c r="L21" s="259">
        <f>TinhHinhVC!D30</f>
        <v>0.1</v>
      </c>
      <c r="M21" s="259">
        <v>0</v>
      </c>
      <c r="N21" s="259">
        <f>TinhHinhVC!E30</f>
        <v>0.1</v>
      </c>
      <c r="O21" s="218">
        <v>0</v>
      </c>
      <c r="P21" s="205">
        <f>L21+M21+N21+O21</f>
        <v>0.2</v>
      </c>
      <c r="Q21" s="259">
        <f>PhanCapVCHC!D18</f>
        <v>0.8</v>
      </c>
      <c r="R21" s="209">
        <f>PhanCapVCHC!E18</f>
        <v>0.2</v>
      </c>
      <c r="S21" s="205">
        <f t="shared" si="2"/>
        <v>0.70000000000000007</v>
      </c>
      <c r="T21" s="277" t="s">
        <v>236</v>
      </c>
      <c r="U21" s="205">
        <f t="shared" si="4"/>
        <v>0.20000000000000004</v>
      </c>
      <c r="V21" s="277" t="s">
        <v>236</v>
      </c>
      <c r="W21" s="205">
        <f t="shared" si="6"/>
        <v>-0.60000000000000009</v>
      </c>
      <c r="X21" s="205">
        <f t="shared" si="7"/>
        <v>0.60000000000000009</v>
      </c>
      <c r="Y21" s="205">
        <f>F21-P21</f>
        <v>0.90000000000000013</v>
      </c>
      <c r="Z21" s="120"/>
      <c r="AA21" s="120"/>
      <c r="AB21" s="120"/>
      <c r="AC21" s="120"/>
      <c r="AE21" s="75"/>
    </row>
    <row r="22" spans="1:42">
      <c r="A22" s="190" t="s">
        <v>161</v>
      </c>
      <c r="B22" s="190"/>
      <c r="C22" s="191"/>
      <c r="D22" s="191"/>
      <c r="E22" s="191"/>
      <c r="F22" s="199">
        <f>F23+F29+F34+F36</f>
        <v>9.7256133333333317</v>
      </c>
      <c r="G22" s="199">
        <f t="shared" ref="G22:Y22" si="10">G23+G29+G34+G36</f>
        <v>1.8736666666666666</v>
      </c>
      <c r="H22" s="199">
        <f t="shared" si="10"/>
        <v>3.9331599999999995</v>
      </c>
      <c r="I22" s="200" t="s">
        <v>236</v>
      </c>
      <c r="J22" s="199">
        <f t="shared" si="10"/>
        <v>2.9167600000000005</v>
      </c>
      <c r="K22" s="199">
        <f t="shared" si="10"/>
        <v>2.9167600000000005</v>
      </c>
      <c r="L22" s="200" t="s">
        <v>236</v>
      </c>
      <c r="M22" s="200" t="s">
        <v>236</v>
      </c>
      <c r="N22" s="199">
        <f t="shared" si="10"/>
        <v>2.9167600000000005</v>
      </c>
      <c r="O22" s="200" t="s">
        <v>236</v>
      </c>
      <c r="P22" s="199">
        <f t="shared" si="10"/>
        <v>2.9167600000000005</v>
      </c>
      <c r="Q22" s="200" t="s">
        <v>236</v>
      </c>
      <c r="R22" s="199">
        <f t="shared" si="10"/>
        <v>3.8972266666666666</v>
      </c>
      <c r="S22" s="200" t="s">
        <v>236</v>
      </c>
      <c r="T22" s="200" t="s">
        <v>236</v>
      </c>
      <c r="U22" s="199">
        <f t="shared" si="10"/>
        <v>2.8541333333333334</v>
      </c>
      <c r="V22" s="200" t="s">
        <v>236</v>
      </c>
      <c r="W22" s="200" t="s">
        <v>236</v>
      </c>
      <c r="X22" s="199">
        <f t="shared" si="10"/>
        <v>2.9526933333333338</v>
      </c>
      <c r="Y22" s="199">
        <f t="shared" si="10"/>
        <v>6.8088533333333325</v>
      </c>
      <c r="Z22" s="189"/>
      <c r="AA22" s="189"/>
      <c r="AB22" s="189"/>
      <c r="AC22" s="121"/>
      <c r="AE22" s="75"/>
    </row>
    <row r="23" spans="1:42">
      <c r="A23" s="192" t="s">
        <v>153</v>
      </c>
      <c r="B23" s="192" t="s">
        <v>43</v>
      </c>
      <c r="C23" s="191"/>
      <c r="D23" s="191"/>
      <c r="E23" s="191"/>
      <c r="F23" s="199">
        <f>SUMPRODUCT($C$24:$C$28,F24:F28)/1000</f>
        <v>9.5633999999999997</v>
      </c>
      <c r="G23" s="199">
        <f>SUMPRODUCT($C$24:$C$28,G24:G28)/1000</f>
        <v>1.8479999999999999</v>
      </c>
      <c r="H23" s="199">
        <f>SUMPRODUCT($C$24:$C$28,H24:H28)/1000</f>
        <v>3.8653999999999997</v>
      </c>
      <c r="I23" s="200" t="s">
        <v>236</v>
      </c>
      <c r="J23" s="199">
        <f>SUMPRODUCT($C$24:$C$28,J24:J28)/1000</f>
        <v>2.8798000000000004</v>
      </c>
      <c r="K23" s="199">
        <f>SUMPRODUCT($C$24:$C$28,K24:K28)/1000</f>
        <v>2.8798000000000004</v>
      </c>
      <c r="L23" s="200" t="s">
        <v>236</v>
      </c>
      <c r="M23" s="200" t="s">
        <v>236</v>
      </c>
      <c r="N23" s="199">
        <f>SUMPRODUCT($C$24:$C$28,N24:N28)/1000</f>
        <v>2.8798000000000004</v>
      </c>
      <c r="O23" s="200" t="s">
        <v>236</v>
      </c>
      <c r="P23" s="199">
        <f>N23</f>
        <v>2.8798000000000004</v>
      </c>
      <c r="Q23" s="200" t="s">
        <v>236</v>
      </c>
      <c r="R23" s="199">
        <f>SUMPRODUCT($C$24:$C$28,R24:R28)/1000</f>
        <v>3.85</v>
      </c>
      <c r="S23" s="200" t="s">
        <v>236</v>
      </c>
      <c r="T23" s="200" t="s">
        <v>236</v>
      </c>
      <c r="U23" s="217">
        <f>G23+R23-N23</f>
        <v>2.8182</v>
      </c>
      <c r="V23" s="200" t="s">
        <v>236</v>
      </c>
      <c r="W23" s="200" t="s">
        <v>236</v>
      </c>
      <c r="X23" s="199">
        <f>H23+J23-R23</f>
        <v>2.8952000000000004</v>
      </c>
      <c r="Y23" s="199">
        <f>F23-N23</f>
        <v>6.6835999999999993</v>
      </c>
      <c r="Z23" s="121"/>
      <c r="AA23" s="121"/>
      <c r="AB23" s="121"/>
      <c r="AC23" s="121"/>
      <c r="AE23" s="71"/>
    </row>
    <row r="24" spans="1:42">
      <c r="A24" s="193" t="s">
        <v>308</v>
      </c>
      <c r="B24" s="193" t="s">
        <v>88</v>
      </c>
      <c r="C24" s="194">
        <f>1.2*QSTBKT!B36</f>
        <v>369.59999999999997</v>
      </c>
      <c r="D24" s="194"/>
      <c r="E24" s="194"/>
      <c r="F24" s="216">
        <f>F9</f>
        <v>19</v>
      </c>
      <c r="G24" s="216">
        <f t="shared" ref="G24:H24" si="11">G9</f>
        <v>5</v>
      </c>
      <c r="H24" s="216">
        <f t="shared" si="11"/>
        <v>9</v>
      </c>
      <c r="I24" s="200" t="s">
        <v>236</v>
      </c>
      <c r="J24" s="216">
        <f>J9</f>
        <v>3</v>
      </c>
      <c r="K24" s="216">
        <f>J24</f>
        <v>3</v>
      </c>
      <c r="L24" s="200" t="s">
        <v>236</v>
      </c>
      <c r="M24" s="200" t="s">
        <v>236</v>
      </c>
      <c r="N24" s="216">
        <f>N9</f>
        <v>3</v>
      </c>
      <c r="O24" s="200" t="s">
        <v>236</v>
      </c>
      <c r="P24" s="216"/>
      <c r="Q24" s="200" t="s">
        <v>236</v>
      </c>
      <c r="R24" s="216">
        <f>R9</f>
        <v>5</v>
      </c>
      <c r="S24" s="200" t="s">
        <v>236</v>
      </c>
      <c r="T24" s="200" t="s">
        <v>236</v>
      </c>
      <c r="U24" s="217">
        <f t="shared" ref="U24:U36" si="12">G24+R24-N24</f>
        <v>7</v>
      </c>
      <c r="V24" s="200" t="s">
        <v>236</v>
      </c>
      <c r="W24" s="200" t="s">
        <v>236</v>
      </c>
      <c r="X24" s="199">
        <f t="shared" ref="X24:X36" si="13">H24+J24-R24</f>
        <v>7</v>
      </c>
      <c r="Y24" s="216"/>
      <c r="Z24" s="120"/>
      <c r="AA24" s="120"/>
      <c r="AB24" s="120"/>
      <c r="AC24" s="120"/>
      <c r="AE24" s="72"/>
    </row>
    <row r="25" spans="1:42">
      <c r="A25" s="195" t="s">
        <v>151</v>
      </c>
      <c r="B25" s="193" t="s">
        <v>88</v>
      </c>
      <c r="C25" s="194">
        <f>0.75*QSTBKT!B36</f>
        <v>231</v>
      </c>
      <c r="D25" s="196"/>
      <c r="E25" s="196"/>
      <c r="F25" s="216">
        <f t="shared" ref="F25:H28" si="14">F10</f>
        <v>4</v>
      </c>
      <c r="G25" s="216">
        <f t="shared" si="14"/>
        <v>0</v>
      </c>
      <c r="H25" s="216">
        <f t="shared" si="14"/>
        <v>2</v>
      </c>
      <c r="I25" s="200" t="s">
        <v>236</v>
      </c>
      <c r="J25" s="216">
        <f>J10</f>
        <v>1</v>
      </c>
      <c r="K25" s="216">
        <f>J25</f>
        <v>1</v>
      </c>
      <c r="L25" s="200" t="s">
        <v>236</v>
      </c>
      <c r="M25" s="200" t="s">
        <v>236</v>
      </c>
      <c r="N25" s="216">
        <f>N10</f>
        <v>1</v>
      </c>
      <c r="O25" s="200" t="s">
        <v>236</v>
      </c>
      <c r="P25" s="216"/>
      <c r="Q25" s="200" t="s">
        <v>236</v>
      </c>
      <c r="R25" s="216">
        <f>R10</f>
        <v>2</v>
      </c>
      <c r="S25" s="200" t="s">
        <v>236</v>
      </c>
      <c r="T25" s="200" t="s">
        <v>236</v>
      </c>
      <c r="U25" s="217">
        <f t="shared" si="12"/>
        <v>1</v>
      </c>
      <c r="V25" s="200" t="s">
        <v>236</v>
      </c>
      <c r="W25" s="200" t="s">
        <v>236</v>
      </c>
      <c r="X25" s="199">
        <f t="shared" si="13"/>
        <v>1</v>
      </c>
      <c r="Y25" s="216"/>
      <c r="Z25" s="120"/>
      <c r="AA25" s="120"/>
      <c r="AB25" s="120"/>
      <c r="AC25" s="120"/>
      <c r="AE25" s="73"/>
      <c r="AL25" s="67"/>
      <c r="AM25" s="67"/>
      <c r="AN25" s="67"/>
      <c r="AO25" s="67"/>
      <c r="AP25" s="67"/>
    </row>
    <row r="26" spans="1:42">
      <c r="A26" s="195" t="s">
        <v>80</v>
      </c>
      <c r="B26" s="194" t="s">
        <v>89</v>
      </c>
      <c r="C26" s="272" t="s">
        <v>236</v>
      </c>
      <c r="D26" s="196"/>
      <c r="E26" s="196"/>
      <c r="F26" s="200" t="s">
        <v>236</v>
      </c>
      <c r="G26" s="200" t="s">
        <v>236</v>
      </c>
      <c r="H26" s="200" t="s">
        <v>236</v>
      </c>
      <c r="I26" s="200" t="s">
        <v>236</v>
      </c>
      <c r="J26" s="200" t="s">
        <v>236</v>
      </c>
      <c r="K26" s="200" t="s">
        <v>236</v>
      </c>
      <c r="L26" s="200" t="s">
        <v>236</v>
      </c>
      <c r="M26" s="200" t="s">
        <v>236</v>
      </c>
      <c r="N26" s="200" t="s">
        <v>236</v>
      </c>
      <c r="O26" s="200" t="s">
        <v>236</v>
      </c>
      <c r="P26" s="200" t="s">
        <v>236</v>
      </c>
      <c r="Q26" s="200" t="s">
        <v>236</v>
      </c>
      <c r="R26" s="200" t="s">
        <v>236</v>
      </c>
      <c r="S26" s="200" t="s">
        <v>236</v>
      </c>
      <c r="T26" s="200" t="s">
        <v>236</v>
      </c>
      <c r="U26" s="200" t="s">
        <v>236</v>
      </c>
      <c r="V26" s="200" t="s">
        <v>236</v>
      </c>
      <c r="W26" s="200" t="s">
        <v>236</v>
      </c>
      <c r="X26" s="200" t="s">
        <v>236</v>
      </c>
      <c r="Y26" s="200" t="s">
        <v>236</v>
      </c>
      <c r="Z26" s="120"/>
      <c r="AA26" s="120"/>
      <c r="AB26" s="120"/>
      <c r="AC26" s="120"/>
      <c r="AE26" s="73"/>
      <c r="AL26" s="65"/>
      <c r="AM26" s="65"/>
      <c r="AN26" s="65"/>
      <c r="AO26" s="65"/>
      <c r="AP26" s="66"/>
    </row>
    <row r="27" spans="1:42">
      <c r="A27" s="195" t="s">
        <v>85</v>
      </c>
      <c r="B27" s="194" t="s">
        <v>89</v>
      </c>
      <c r="C27" s="194">
        <f>0.01*QSTBKT!B36*2</f>
        <v>6.16</v>
      </c>
      <c r="D27" s="196"/>
      <c r="E27" s="196"/>
      <c r="F27" s="216">
        <f t="shared" si="14"/>
        <v>105</v>
      </c>
      <c r="G27" s="216">
        <f t="shared" si="14"/>
        <v>0</v>
      </c>
      <c r="H27" s="216">
        <f t="shared" si="14"/>
        <v>5</v>
      </c>
      <c r="I27" s="200" t="s">
        <v>236</v>
      </c>
      <c r="J27" s="216">
        <f>J12</f>
        <v>100</v>
      </c>
      <c r="K27" s="216">
        <f>J27</f>
        <v>100</v>
      </c>
      <c r="L27" s="200" t="s">
        <v>236</v>
      </c>
      <c r="M27" s="200" t="s">
        <v>236</v>
      </c>
      <c r="N27" s="216">
        <f>N12</f>
        <v>100</v>
      </c>
      <c r="O27" s="200" t="s">
        <v>236</v>
      </c>
      <c r="P27" s="216"/>
      <c r="Q27" s="200" t="s">
        <v>236</v>
      </c>
      <c r="R27" s="216">
        <f>R12</f>
        <v>100</v>
      </c>
      <c r="S27" s="200" t="s">
        <v>236</v>
      </c>
      <c r="T27" s="200" t="s">
        <v>236</v>
      </c>
      <c r="U27" s="217">
        <f t="shared" si="12"/>
        <v>0</v>
      </c>
      <c r="V27" s="200" t="s">
        <v>236</v>
      </c>
      <c r="W27" s="200" t="s">
        <v>236</v>
      </c>
      <c r="X27" s="199">
        <f t="shared" si="13"/>
        <v>5</v>
      </c>
      <c r="Y27" s="216"/>
      <c r="Z27" s="120"/>
      <c r="AA27" s="120"/>
      <c r="AB27" s="120"/>
      <c r="AC27" s="120"/>
      <c r="AE27" s="73"/>
      <c r="AL27" s="39"/>
      <c r="AM27" s="39"/>
      <c r="AN27" s="39"/>
      <c r="AO27" s="39"/>
      <c r="AP27" s="39"/>
    </row>
    <row r="28" spans="1:42">
      <c r="A28" s="197" t="s">
        <v>82</v>
      </c>
      <c r="B28" s="194" t="s">
        <v>89</v>
      </c>
      <c r="C28" s="194">
        <f>0.01*QSTBKT!B36*3</f>
        <v>9.24</v>
      </c>
      <c r="D28" s="196"/>
      <c r="E28" s="196"/>
      <c r="F28" s="216">
        <f t="shared" si="14"/>
        <v>105</v>
      </c>
      <c r="G28" s="216">
        <f t="shared" si="14"/>
        <v>0</v>
      </c>
      <c r="H28" s="216">
        <f t="shared" si="14"/>
        <v>5</v>
      </c>
      <c r="I28" s="200" t="s">
        <v>236</v>
      </c>
      <c r="J28" s="216">
        <f>J13</f>
        <v>100</v>
      </c>
      <c r="K28" s="216">
        <f>J28</f>
        <v>100</v>
      </c>
      <c r="L28" s="200" t="s">
        <v>236</v>
      </c>
      <c r="M28" s="200" t="s">
        <v>236</v>
      </c>
      <c r="N28" s="216">
        <f>N13</f>
        <v>100</v>
      </c>
      <c r="O28" s="200" t="s">
        <v>236</v>
      </c>
      <c r="P28" s="216"/>
      <c r="Q28" s="200" t="s">
        <v>236</v>
      </c>
      <c r="R28" s="216">
        <f>R13</f>
        <v>100</v>
      </c>
      <c r="S28" s="200" t="s">
        <v>236</v>
      </c>
      <c r="T28" s="200" t="s">
        <v>236</v>
      </c>
      <c r="U28" s="217">
        <f t="shared" si="12"/>
        <v>0</v>
      </c>
      <c r="V28" s="200" t="s">
        <v>236</v>
      </c>
      <c r="W28" s="200" t="s">
        <v>236</v>
      </c>
      <c r="X28" s="199">
        <f t="shared" si="13"/>
        <v>5</v>
      </c>
      <c r="Y28" s="216"/>
      <c r="Z28" s="120"/>
      <c r="AA28" s="120"/>
      <c r="AB28" s="120"/>
      <c r="AC28" s="120"/>
      <c r="AE28" s="74"/>
      <c r="AL28" s="39"/>
      <c r="AM28" s="39"/>
      <c r="AN28" s="39"/>
      <c r="AO28" s="39"/>
      <c r="AP28" s="39"/>
    </row>
    <row r="29" spans="1:42">
      <c r="A29" s="198" t="s">
        <v>154</v>
      </c>
      <c r="B29" s="192" t="s">
        <v>43</v>
      </c>
      <c r="C29" s="191"/>
      <c r="D29" s="199"/>
      <c r="E29" s="199"/>
      <c r="F29" s="199">
        <f>SUMPRODUCT($C$30:$C$33,F30:F33)/1000</f>
        <v>6.4680000000000001E-2</v>
      </c>
      <c r="G29" s="199">
        <f>SUMPRODUCT($C$30:$C$33,G30:G33)/1000</f>
        <v>0</v>
      </c>
      <c r="H29" s="199">
        <f>SUMPRODUCT($C$30:$C$33,H30:H33)/1000</f>
        <v>2.1560000000000003E-2</v>
      </c>
      <c r="I29" s="200" t="s">
        <v>236</v>
      </c>
      <c r="J29" s="199">
        <f>SUMPRODUCT($C$30:$C$33,J30:J33)/1000</f>
        <v>2.1560000000000003E-2</v>
      </c>
      <c r="K29" s="216">
        <f t="shared" ref="K29:K36" si="15">J29</f>
        <v>2.1560000000000003E-2</v>
      </c>
      <c r="L29" s="200" t="s">
        <v>236</v>
      </c>
      <c r="M29" s="200" t="s">
        <v>236</v>
      </c>
      <c r="N29" s="199">
        <f>SUMPRODUCT($C$30:$C$33,N30:N33)/1000</f>
        <v>2.1560000000000003E-2</v>
      </c>
      <c r="O29" s="200" t="s">
        <v>236</v>
      </c>
      <c r="P29" s="199">
        <f>N29</f>
        <v>2.1560000000000003E-2</v>
      </c>
      <c r="Q29" s="200" t="s">
        <v>236</v>
      </c>
      <c r="R29" s="199">
        <f>SUMPRODUCT($C$30:$C$33,R30:R33)/1000</f>
        <v>2.1560000000000003E-2</v>
      </c>
      <c r="S29" s="200" t="s">
        <v>236</v>
      </c>
      <c r="T29" s="200" t="s">
        <v>236</v>
      </c>
      <c r="U29" s="217">
        <f t="shared" si="12"/>
        <v>0</v>
      </c>
      <c r="V29" s="200" t="s">
        <v>236</v>
      </c>
      <c r="W29" s="200" t="s">
        <v>236</v>
      </c>
      <c r="X29" s="199">
        <f t="shared" si="13"/>
        <v>2.1560000000000003E-2</v>
      </c>
      <c r="Y29" s="199">
        <f>F29-N29</f>
        <v>4.3119999999999999E-2</v>
      </c>
      <c r="Z29" s="122"/>
      <c r="AA29" s="122"/>
      <c r="AB29" s="122"/>
      <c r="AC29" s="122"/>
      <c r="AE29" s="74"/>
      <c r="AL29" s="39"/>
      <c r="AM29" s="39"/>
      <c r="AN29" s="39"/>
      <c r="AO29" s="39"/>
      <c r="AP29" s="39"/>
    </row>
    <row r="30" spans="1:42">
      <c r="A30" s="195" t="s">
        <v>155</v>
      </c>
      <c r="B30" s="195" t="s">
        <v>90</v>
      </c>
      <c r="C30" s="194">
        <v>6</v>
      </c>
      <c r="D30" s="196"/>
      <c r="E30" s="196"/>
      <c r="F30" s="187"/>
      <c r="G30" s="187"/>
      <c r="H30" s="187"/>
      <c r="I30" s="200" t="s">
        <v>236</v>
      </c>
      <c r="J30" s="187"/>
      <c r="K30" s="216">
        <f t="shared" si="15"/>
        <v>0</v>
      </c>
      <c r="L30" s="200" t="s">
        <v>236</v>
      </c>
      <c r="M30" s="200" t="s">
        <v>236</v>
      </c>
      <c r="N30" s="187"/>
      <c r="O30" s="200" t="s">
        <v>236</v>
      </c>
      <c r="P30" s="216"/>
      <c r="Q30" s="200" t="s">
        <v>236</v>
      </c>
      <c r="R30" s="120"/>
      <c r="S30" s="200" t="s">
        <v>236</v>
      </c>
      <c r="T30" s="200" t="s">
        <v>236</v>
      </c>
      <c r="U30" s="217">
        <f t="shared" si="12"/>
        <v>0</v>
      </c>
      <c r="V30" s="200" t="s">
        <v>236</v>
      </c>
      <c r="W30" s="200" t="s">
        <v>236</v>
      </c>
      <c r="X30" s="199">
        <f t="shared" si="13"/>
        <v>0</v>
      </c>
      <c r="Y30" s="216"/>
      <c r="Z30" s="120"/>
      <c r="AA30" s="120"/>
      <c r="AB30" s="120"/>
      <c r="AC30" s="120"/>
      <c r="AE30" s="43"/>
      <c r="AL30" s="39"/>
      <c r="AM30" s="39"/>
      <c r="AN30" s="39"/>
      <c r="AO30" s="39"/>
      <c r="AP30" s="39"/>
    </row>
    <row r="31" spans="1:42">
      <c r="A31" s="195" t="s">
        <v>156</v>
      </c>
      <c r="B31" s="195" t="s">
        <v>90</v>
      </c>
      <c r="C31" s="194">
        <v>4</v>
      </c>
      <c r="D31" s="196"/>
      <c r="E31" s="196"/>
      <c r="F31" s="187"/>
      <c r="G31" s="187"/>
      <c r="H31" s="187"/>
      <c r="I31" s="200" t="s">
        <v>236</v>
      </c>
      <c r="J31" s="187"/>
      <c r="K31" s="216">
        <f t="shared" si="15"/>
        <v>0</v>
      </c>
      <c r="L31" s="200" t="s">
        <v>236</v>
      </c>
      <c r="M31" s="200" t="s">
        <v>236</v>
      </c>
      <c r="N31" s="187"/>
      <c r="O31" s="200" t="s">
        <v>236</v>
      </c>
      <c r="P31" s="216"/>
      <c r="Q31" s="200" t="s">
        <v>236</v>
      </c>
      <c r="R31" s="120"/>
      <c r="S31" s="200" t="s">
        <v>236</v>
      </c>
      <c r="T31" s="200" t="s">
        <v>236</v>
      </c>
      <c r="U31" s="217">
        <f t="shared" si="12"/>
        <v>0</v>
      </c>
      <c r="V31" s="200" t="s">
        <v>236</v>
      </c>
      <c r="W31" s="200" t="s">
        <v>236</v>
      </c>
      <c r="X31" s="199">
        <f t="shared" si="13"/>
        <v>0</v>
      </c>
      <c r="Y31" s="216"/>
      <c r="Z31" s="120"/>
      <c r="AA31" s="120"/>
      <c r="AB31" s="120"/>
      <c r="AC31" s="120"/>
      <c r="AE31" s="39"/>
      <c r="AL31" s="39"/>
      <c r="AM31" s="39"/>
      <c r="AN31" s="39"/>
      <c r="AO31" s="39"/>
      <c r="AP31" s="39"/>
    </row>
    <row r="32" spans="1:42">
      <c r="A32" s="195" t="s">
        <v>157</v>
      </c>
      <c r="B32" s="195" t="s">
        <v>90</v>
      </c>
      <c r="C32" s="194">
        <v>2</v>
      </c>
      <c r="D32" s="196"/>
      <c r="E32" s="196"/>
      <c r="F32" s="187"/>
      <c r="G32" s="187"/>
      <c r="H32" s="187"/>
      <c r="I32" s="200" t="s">
        <v>236</v>
      </c>
      <c r="J32" s="187"/>
      <c r="K32" s="216">
        <f t="shared" si="15"/>
        <v>0</v>
      </c>
      <c r="L32" s="200" t="s">
        <v>236</v>
      </c>
      <c r="M32" s="200" t="s">
        <v>236</v>
      </c>
      <c r="N32" s="187"/>
      <c r="O32" s="200" t="s">
        <v>236</v>
      </c>
      <c r="P32" s="216"/>
      <c r="Q32" s="200" t="s">
        <v>236</v>
      </c>
      <c r="R32" s="120"/>
      <c r="S32" s="200" t="s">
        <v>236</v>
      </c>
      <c r="T32" s="200" t="s">
        <v>236</v>
      </c>
      <c r="U32" s="217">
        <f t="shared" si="12"/>
        <v>0</v>
      </c>
      <c r="V32" s="200" t="s">
        <v>236</v>
      </c>
      <c r="W32" s="200" t="s">
        <v>236</v>
      </c>
      <c r="X32" s="199">
        <f t="shared" si="13"/>
        <v>0</v>
      </c>
      <c r="Y32" s="216"/>
      <c r="Z32" s="120"/>
      <c r="AA32" s="120"/>
      <c r="AB32" s="120"/>
      <c r="AC32" s="120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</row>
    <row r="33" spans="1:31">
      <c r="A33" s="195" t="s">
        <v>83</v>
      </c>
      <c r="B33" s="195" t="s">
        <v>91</v>
      </c>
      <c r="C33" s="194">
        <f>0.07*QSTBKT!B36</f>
        <v>21.560000000000002</v>
      </c>
      <c r="D33" s="196"/>
      <c r="E33" s="196"/>
      <c r="F33" s="216">
        <f t="shared" ref="F33:J33" si="16">F18</f>
        <v>3</v>
      </c>
      <c r="G33" s="216">
        <f t="shared" si="16"/>
        <v>0</v>
      </c>
      <c r="H33" s="216">
        <f t="shared" si="16"/>
        <v>1</v>
      </c>
      <c r="I33" s="200" t="s">
        <v>236</v>
      </c>
      <c r="J33" s="216">
        <f t="shared" si="16"/>
        <v>1</v>
      </c>
      <c r="K33" s="216">
        <f t="shared" si="15"/>
        <v>1</v>
      </c>
      <c r="L33" s="200" t="s">
        <v>236</v>
      </c>
      <c r="M33" s="200" t="s">
        <v>236</v>
      </c>
      <c r="N33" s="216">
        <f t="shared" ref="N33" si="17">N18</f>
        <v>1</v>
      </c>
      <c r="O33" s="200" t="s">
        <v>236</v>
      </c>
      <c r="P33" s="216"/>
      <c r="Q33" s="200" t="s">
        <v>236</v>
      </c>
      <c r="R33" s="216">
        <f t="shared" ref="R33" si="18">R18</f>
        <v>1</v>
      </c>
      <c r="S33" s="200" t="s">
        <v>236</v>
      </c>
      <c r="T33" s="200" t="s">
        <v>236</v>
      </c>
      <c r="U33" s="217">
        <f t="shared" si="12"/>
        <v>0</v>
      </c>
      <c r="V33" s="200" t="s">
        <v>236</v>
      </c>
      <c r="W33" s="200" t="s">
        <v>236</v>
      </c>
      <c r="X33" s="199">
        <f t="shared" si="13"/>
        <v>1</v>
      </c>
      <c r="Y33" s="216"/>
      <c r="Z33" s="120"/>
      <c r="AA33" s="120"/>
      <c r="AB33" s="120"/>
      <c r="AC33" s="120"/>
      <c r="AE33" s="75"/>
    </row>
    <row r="34" spans="1:31">
      <c r="A34" s="198" t="s">
        <v>158</v>
      </c>
      <c r="B34" s="192" t="s">
        <v>43</v>
      </c>
      <c r="C34" s="191"/>
      <c r="D34" s="199"/>
      <c r="E34" s="199"/>
      <c r="F34" s="199">
        <f>F35*$C$35/1000</f>
        <v>9.7533333333333347E-2</v>
      </c>
      <c r="G34" s="199">
        <f>G35*$C$35/1000</f>
        <v>2.5666666666666667E-2</v>
      </c>
      <c r="H34" s="199">
        <f>H35*$C$35/1000</f>
        <v>4.6200000000000005E-2</v>
      </c>
      <c r="I34" s="200" t="s">
        <v>236</v>
      </c>
      <c r="J34" s="199">
        <f>J35*$C$35/1000</f>
        <v>1.5400000000000002E-2</v>
      </c>
      <c r="K34" s="216">
        <f t="shared" si="15"/>
        <v>1.5400000000000002E-2</v>
      </c>
      <c r="L34" s="200" t="s">
        <v>236</v>
      </c>
      <c r="M34" s="200" t="s">
        <v>236</v>
      </c>
      <c r="N34" s="199">
        <f>N35*$C$35/1000</f>
        <v>1.5400000000000002E-2</v>
      </c>
      <c r="O34" s="200" t="s">
        <v>236</v>
      </c>
      <c r="P34" s="199">
        <f>N34</f>
        <v>1.5400000000000002E-2</v>
      </c>
      <c r="Q34" s="200" t="s">
        <v>236</v>
      </c>
      <c r="R34" s="199">
        <f>R35*$C$35/1000</f>
        <v>2.5666666666666667E-2</v>
      </c>
      <c r="S34" s="200" t="s">
        <v>236</v>
      </c>
      <c r="T34" s="200" t="s">
        <v>236</v>
      </c>
      <c r="U34" s="217">
        <f t="shared" si="12"/>
        <v>3.5933333333333331E-2</v>
      </c>
      <c r="V34" s="200" t="s">
        <v>236</v>
      </c>
      <c r="W34" s="200" t="s">
        <v>236</v>
      </c>
      <c r="X34" s="199">
        <f t="shared" si="13"/>
        <v>3.5933333333333345E-2</v>
      </c>
      <c r="Y34" s="199">
        <f>F34-N34</f>
        <v>8.213333333333335E-2</v>
      </c>
      <c r="Z34" s="122"/>
      <c r="AA34" s="122"/>
      <c r="AB34" s="122"/>
      <c r="AC34" s="122"/>
      <c r="AE34" s="75"/>
    </row>
    <row r="35" spans="1:31">
      <c r="A35" s="195" t="s">
        <v>84</v>
      </c>
      <c r="B35" s="195" t="s">
        <v>160</v>
      </c>
      <c r="C35" s="194">
        <f>0.5*QSTBKT!B36/30</f>
        <v>5.1333333333333337</v>
      </c>
      <c r="D35" s="196"/>
      <c r="E35" s="196"/>
      <c r="F35" s="216">
        <f>F20</f>
        <v>19</v>
      </c>
      <c r="G35" s="216">
        <f>G20</f>
        <v>5</v>
      </c>
      <c r="H35" s="216">
        <f>H20</f>
        <v>9</v>
      </c>
      <c r="I35" s="200" t="s">
        <v>236</v>
      </c>
      <c r="J35" s="216">
        <f>J20</f>
        <v>3</v>
      </c>
      <c r="K35" s="216">
        <f t="shared" si="15"/>
        <v>3</v>
      </c>
      <c r="L35" s="200" t="s">
        <v>236</v>
      </c>
      <c r="M35" s="200" t="s">
        <v>236</v>
      </c>
      <c r="N35" s="216">
        <f>N20</f>
        <v>3</v>
      </c>
      <c r="O35" s="200" t="s">
        <v>236</v>
      </c>
      <c r="P35" s="216"/>
      <c r="Q35" s="200" t="s">
        <v>236</v>
      </c>
      <c r="R35" s="216">
        <f>R20</f>
        <v>5</v>
      </c>
      <c r="S35" s="200" t="s">
        <v>236</v>
      </c>
      <c r="T35" s="200" t="s">
        <v>236</v>
      </c>
      <c r="U35" s="217">
        <f t="shared" si="12"/>
        <v>7</v>
      </c>
      <c r="V35" s="200" t="s">
        <v>236</v>
      </c>
      <c r="W35" s="200" t="s">
        <v>236</v>
      </c>
      <c r="X35" s="199">
        <f t="shared" si="13"/>
        <v>7</v>
      </c>
      <c r="Y35" s="216"/>
      <c r="Z35" s="120"/>
      <c r="AA35" s="120"/>
      <c r="AB35" s="120"/>
      <c r="AC35" s="120"/>
      <c r="AE35" s="75"/>
    </row>
    <row r="36" spans="1:31">
      <c r="A36" s="198" t="s">
        <v>159</v>
      </c>
      <c r="B36" s="192" t="s">
        <v>43</v>
      </c>
      <c r="C36" s="196"/>
      <c r="D36" s="196"/>
      <c r="E36" s="196"/>
      <c r="F36" s="218"/>
      <c r="G36" s="218"/>
      <c r="H36" s="218"/>
      <c r="I36" s="200" t="s">
        <v>236</v>
      </c>
      <c r="J36" s="218"/>
      <c r="K36" s="216">
        <f t="shared" si="15"/>
        <v>0</v>
      </c>
      <c r="L36" s="200" t="s">
        <v>236</v>
      </c>
      <c r="M36" s="200" t="s">
        <v>236</v>
      </c>
      <c r="N36" s="218"/>
      <c r="O36" s="200" t="s">
        <v>236</v>
      </c>
      <c r="P36" s="217">
        <f>N36</f>
        <v>0</v>
      </c>
      <c r="Q36" s="200" t="s">
        <v>236</v>
      </c>
      <c r="R36" s="125"/>
      <c r="S36" s="200" t="s">
        <v>236</v>
      </c>
      <c r="T36" s="200" t="s">
        <v>236</v>
      </c>
      <c r="U36" s="217">
        <f t="shared" si="12"/>
        <v>0</v>
      </c>
      <c r="V36" s="200" t="s">
        <v>236</v>
      </c>
      <c r="W36" s="200" t="s">
        <v>236</v>
      </c>
      <c r="X36" s="199">
        <f t="shared" si="13"/>
        <v>0</v>
      </c>
      <c r="Y36" s="199">
        <f>F36-N36</f>
        <v>0</v>
      </c>
      <c r="Z36" s="120"/>
      <c r="AA36" s="120"/>
      <c r="AB36" s="120"/>
      <c r="AC36" s="120"/>
      <c r="AE36" s="75"/>
    </row>
    <row r="37" spans="1:31">
      <c r="A37" s="219" t="s">
        <v>162</v>
      </c>
      <c r="B37" s="219"/>
      <c r="C37" s="220"/>
      <c r="D37" s="220"/>
      <c r="E37" s="220"/>
      <c r="F37" s="228">
        <f>F38+F44+F49+F51</f>
        <v>6.189026666666666</v>
      </c>
      <c r="G37" s="228">
        <f t="shared" ref="G37:K37" si="19">G38+G44+G49+G51</f>
        <v>1.1923333333333332</v>
      </c>
      <c r="H37" s="228">
        <f t="shared" si="19"/>
        <v>2.5029199999999996</v>
      </c>
      <c r="I37" s="229" t="s">
        <v>236</v>
      </c>
      <c r="J37" s="228">
        <f t="shared" si="19"/>
        <v>1.85612</v>
      </c>
      <c r="K37" s="228">
        <f t="shared" si="19"/>
        <v>1.85612</v>
      </c>
      <c r="L37" s="229" t="s">
        <v>236</v>
      </c>
      <c r="M37" s="229" t="s">
        <v>236</v>
      </c>
      <c r="N37" s="228">
        <f t="shared" ref="N37" si="20">N38+N44+N49+N51</f>
        <v>1.85612</v>
      </c>
      <c r="O37" s="229" t="s">
        <v>236</v>
      </c>
      <c r="P37" s="228">
        <f t="shared" ref="P37" si="21">P38+P44+P49+P51</f>
        <v>1.8424</v>
      </c>
      <c r="Q37" s="229" t="s">
        <v>236</v>
      </c>
      <c r="R37" s="228">
        <f t="shared" ref="R37" si="22">R38+R44+R49+R51</f>
        <v>2.4800533333333337</v>
      </c>
      <c r="S37" s="229" t="s">
        <v>236</v>
      </c>
      <c r="T37" s="229" t="s">
        <v>236</v>
      </c>
      <c r="U37" s="228">
        <f t="shared" ref="U37" si="23">U38+U44+U49+U51</f>
        <v>1.8162666666666665</v>
      </c>
      <c r="V37" s="229" t="s">
        <v>236</v>
      </c>
      <c r="W37" s="229" t="s">
        <v>236</v>
      </c>
      <c r="X37" s="228">
        <f t="shared" ref="X37:Y37" si="24">X38+X44+X49+X51</f>
        <v>1.8789866666666661</v>
      </c>
      <c r="Y37" s="228">
        <f t="shared" si="24"/>
        <v>4.3329066666666662</v>
      </c>
      <c r="Z37" s="121"/>
      <c r="AA37" s="121"/>
      <c r="AB37" s="121"/>
      <c r="AC37" s="121"/>
      <c r="AE37" s="75"/>
    </row>
    <row r="38" spans="1:31" ht="15.75">
      <c r="A38" s="221" t="s">
        <v>153</v>
      </c>
      <c r="B38" s="221" t="s">
        <v>43</v>
      </c>
      <c r="C38" s="220"/>
      <c r="D38" s="220"/>
      <c r="E38" s="220"/>
      <c r="F38" s="228">
        <f>SUMPRODUCT($C$39:$C$43,F39:F43)/1000</f>
        <v>6.0857999999999999</v>
      </c>
      <c r="G38" s="228">
        <f>SUMPRODUCT($C$39:$C$43,G39:G43)/1000</f>
        <v>1.1759999999999999</v>
      </c>
      <c r="H38" s="228">
        <f>SUMPRODUCT($C$39:$C$43,H39:H43)/1000</f>
        <v>2.4597999999999995</v>
      </c>
      <c r="I38" s="229" t="s">
        <v>236</v>
      </c>
      <c r="J38" s="228">
        <f>SUMPRODUCT($C$39:$C$43,J39:J43)/1000</f>
        <v>1.8326</v>
      </c>
      <c r="K38" s="225">
        <f>J38</f>
        <v>1.8326</v>
      </c>
      <c r="L38" s="229" t="s">
        <v>236</v>
      </c>
      <c r="M38" s="229" t="s">
        <v>236</v>
      </c>
      <c r="N38" s="228">
        <f>SUMPRODUCT($C$39:$C$43,N39:N43)/1000</f>
        <v>1.8326</v>
      </c>
      <c r="O38" s="229" t="s">
        <v>236</v>
      </c>
      <c r="P38" s="228">
        <f>N38</f>
        <v>1.8326</v>
      </c>
      <c r="Q38" s="229" t="s">
        <v>236</v>
      </c>
      <c r="R38" s="228">
        <f>SUMPRODUCT($C$39:$C$43,R39:R43)/1000</f>
        <v>2.4500000000000002</v>
      </c>
      <c r="S38" s="229" t="s">
        <v>236</v>
      </c>
      <c r="T38" s="229" t="s">
        <v>236</v>
      </c>
      <c r="U38" s="228">
        <f>SUMPRODUCT($C$39:$C$43,U39:U43)/1000</f>
        <v>1.7933999999999999</v>
      </c>
      <c r="V38" s="229" t="s">
        <v>236</v>
      </c>
      <c r="W38" s="229" t="s">
        <v>236</v>
      </c>
      <c r="X38" s="228">
        <f>H38+J38-R38</f>
        <v>1.8423999999999996</v>
      </c>
      <c r="Y38" s="228">
        <f>F38-N38</f>
        <v>4.2531999999999996</v>
      </c>
      <c r="Z38" s="121"/>
      <c r="AA38" s="121"/>
      <c r="AB38" s="121"/>
      <c r="AC38" s="121"/>
      <c r="AE38" s="59"/>
    </row>
    <row r="39" spans="1:31" ht="15.75">
      <c r="A39" s="222" t="s">
        <v>308</v>
      </c>
      <c r="B39" s="222" t="s">
        <v>88</v>
      </c>
      <c r="C39" s="223">
        <f>1.2*QSTBKT!B51</f>
        <v>235.2</v>
      </c>
      <c r="D39" s="223"/>
      <c r="E39" s="223"/>
      <c r="F39" s="45">
        <f t="shared" ref="F39:H43" si="25">F24</f>
        <v>19</v>
      </c>
      <c r="G39" s="45">
        <f t="shared" si="25"/>
        <v>5</v>
      </c>
      <c r="H39" s="45">
        <f t="shared" si="25"/>
        <v>9</v>
      </c>
      <c r="I39" s="229" t="s">
        <v>236</v>
      </c>
      <c r="J39" s="45">
        <f>J24</f>
        <v>3</v>
      </c>
      <c r="K39" s="225">
        <f>J39</f>
        <v>3</v>
      </c>
      <c r="L39" s="229" t="s">
        <v>236</v>
      </c>
      <c r="M39" s="229" t="s">
        <v>236</v>
      </c>
      <c r="N39" s="45">
        <f>N24</f>
        <v>3</v>
      </c>
      <c r="O39" s="229" t="s">
        <v>236</v>
      </c>
      <c r="P39" s="44"/>
      <c r="Q39" s="229" t="s">
        <v>236</v>
      </c>
      <c r="R39" s="45">
        <f>R24</f>
        <v>5</v>
      </c>
      <c r="S39" s="229" t="s">
        <v>236</v>
      </c>
      <c r="T39" s="229" t="s">
        <v>236</v>
      </c>
      <c r="U39" s="44">
        <f t="shared" ref="U39:U43" si="26">G39+R39-N39</f>
        <v>7</v>
      </c>
      <c r="V39" s="229" t="s">
        <v>236</v>
      </c>
      <c r="W39" s="229" t="s">
        <v>236</v>
      </c>
      <c r="X39" s="228">
        <f t="shared" ref="X39:X51" si="27">H39+J39-R39</f>
        <v>7</v>
      </c>
      <c r="Y39" s="45"/>
      <c r="Z39" s="120"/>
      <c r="AA39" s="120"/>
      <c r="AB39" s="120"/>
      <c r="AC39" s="120"/>
      <c r="AE39" s="59"/>
    </row>
    <row r="40" spans="1:31" ht="15.75">
      <c r="A40" s="224" t="s">
        <v>151</v>
      </c>
      <c r="B40" s="222" t="s">
        <v>88</v>
      </c>
      <c r="C40" s="223">
        <f>0.75*QSTBKT!B51</f>
        <v>147</v>
      </c>
      <c r="D40" s="225"/>
      <c r="E40" s="225"/>
      <c r="F40" s="45">
        <f t="shared" si="25"/>
        <v>4</v>
      </c>
      <c r="G40" s="45">
        <f t="shared" si="25"/>
        <v>0</v>
      </c>
      <c r="H40" s="45">
        <f t="shared" si="25"/>
        <v>2</v>
      </c>
      <c r="I40" s="229" t="s">
        <v>236</v>
      </c>
      <c r="J40" s="45">
        <f>J25</f>
        <v>1</v>
      </c>
      <c r="K40" s="225">
        <f t="shared" ref="K40:K66" si="28">J40</f>
        <v>1</v>
      </c>
      <c r="L40" s="229" t="s">
        <v>236</v>
      </c>
      <c r="M40" s="229" t="s">
        <v>236</v>
      </c>
      <c r="N40" s="45">
        <f t="shared" ref="N40:N43" si="29">N25</f>
        <v>1</v>
      </c>
      <c r="O40" s="229" t="s">
        <v>236</v>
      </c>
      <c r="P40" s="44"/>
      <c r="Q40" s="229" t="s">
        <v>236</v>
      </c>
      <c r="R40" s="45">
        <f>R25</f>
        <v>2</v>
      </c>
      <c r="S40" s="229" t="s">
        <v>236</v>
      </c>
      <c r="T40" s="229" t="s">
        <v>236</v>
      </c>
      <c r="U40" s="44">
        <f t="shared" si="26"/>
        <v>1</v>
      </c>
      <c r="V40" s="229" t="s">
        <v>236</v>
      </c>
      <c r="W40" s="229" t="s">
        <v>236</v>
      </c>
      <c r="X40" s="228">
        <f t="shared" si="27"/>
        <v>1</v>
      </c>
      <c r="Y40" s="45"/>
      <c r="Z40" s="120"/>
      <c r="AA40" s="120"/>
      <c r="AB40" s="120"/>
      <c r="AC40" s="120"/>
      <c r="AE40" s="62"/>
    </row>
    <row r="41" spans="1:31" ht="15.75">
      <c r="A41" s="224" t="s">
        <v>80</v>
      </c>
      <c r="B41" s="223" t="s">
        <v>89</v>
      </c>
      <c r="C41" s="273" t="s">
        <v>236</v>
      </c>
      <c r="D41" s="225"/>
      <c r="E41" s="225"/>
      <c r="F41" s="45" t="str">
        <f t="shared" si="25"/>
        <v>-</v>
      </c>
      <c r="G41" s="45" t="str">
        <f t="shared" si="25"/>
        <v>-</v>
      </c>
      <c r="H41" s="45" t="str">
        <f t="shared" si="25"/>
        <v>-</v>
      </c>
      <c r="I41" s="229" t="s">
        <v>236</v>
      </c>
      <c r="J41" s="45" t="str">
        <f>J26</f>
        <v>-</v>
      </c>
      <c r="K41" s="225" t="str">
        <f t="shared" si="28"/>
        <v>-</v>
      </c>
      <c r="L41" s="229" t="s">
        <v>236</v>
      </c>
      <c r="M41" s="229" t="s">
        <v>236</v>
      </c>
      <c r="N41" s="45" t="str">
        <f t="shared" si="29"/>
        <v>-</v>
      </c>
      <c r="O41" s="229" t="s">
        <v>236</v>
      </c>
      <c r="P41" s="44"/>
      <c r="Q41" s="229" t="s">
        <v>236</v>
      </c>
      <c r="R41" s="45" t="str">
        <f>R26</f>
        <v>-</v>
      </c>
      <c r="S41" s="229" t="s">
        <v>236</v>
      </c>
      <c r="T41" s="229" t="s">
        <v>236</v>
      </c>
      <c r="U41" s="233" t="s">
        <v>236</v>
      </c>
      <c r="V41" s="229" t="s">
        <v>236</v>
      </c>
      <c r="W41" s="229" t="s">
        <v>236</v>
      </c>
      <c r="X41" s="234" t="s">
        <v>236</v>
      </c>
      <c r="Y41" s="45"/>
      <c r="Z41" s="120"/>
      <c r="AA41" s="120"/>
      <c r="AB41" s="120"/>
      <c r="AC41" s="120"/>
      <c r="AE41" s="59"/>
    </row>
    <row r="42" spans="1:31" ht="15.75">
      <c r="A42" s="224" t="s">
        <v>85</v>
      </c>
      <c r="B42" s="223" t="s">
        <v>89</v>
      </c>
      <c r="C42" s="223">
        <f>0.01*2*QSTBKT!B51</f>
        <v>3.92</v>
      </c>
      <c r="D42" s="225"/>
      <c r="E42" s="225"/>
      <c r="F42" s="45">
        <f t="shared" si="25"/>
        <v>105</v>
      </c>
      <c r="G42" s="45">
        <f t="shared" si="25"/>
        <v>0</v>
      </c>
      <c r="H42" s="45">
        <f t="shared" si="25"/>
        <v>5</v>
      </c>
      <c r="I42" s="229" t="s">
        <v>236</v>
      </c>
      <c r="J42" s="45">
        <f>J27</f>
        <v>100</v>
      </c>
      <c r="K42" s="45">
        <f t="shared" si="28"/>
        <v>100</v>
      </c>
      <c r="L42" s="229" t="s">
        <v>236</v>
      </c>
      <c r="M42" s="229" t="s">
        <v>236</v>
      </c>
      <c r="N42" s="45">
        <f t="shared" si="29"/>
        <v>100</v>
      </c>
      <c r="O42" s="229" t="s">
        <v>236</v>
      </c>
      <c r="P42" s="44"/>
      <c r="Q42" s="229" t="s">
        <v>236</v>
      </c>
      <c r="R42" s="45">
        <f>R27</f>
        <v>100</v>
      </c>
      <c r="S42" s="229" t="s">
        <v>236</v>
      </c>
      <c r="T42" s="229" t="s">
        <v>236</v>
      </c>
      <c r="U42" s="44">
        <f t="shared" si="26"/>
        <v>0</v>
      </c>
      <c r="V42" s="229" t="s">
        <v>236</v>
      </c>
      <c r="W42" s="229" t="s">
        <v>236</v>
      </c>
      <c r="X42" s="228">
        <f t="shared" si="27"/>
        <v>5</v>
      </c>
      <c r="Y42" s="45"/>
      <c r="Z42" s="120"/>
      <c r="AA42" s="120"/>
      <c r="AB42" s="120"/>
      <c r="AC42" s="120"/>
      <c r="AE42" s="62"/>
    </row>
    <row r="43" spans="1:31" ht="15.75">
      <c r="A43" s="226" t="s">
        <v>82</v>
      </c>
      <c r="B43" s="223" t="s">
        <v>89</v>
      </c>
      <c r="C43" s="223">
        <f>0.01*3*QSTBKT!B51</f>
        <v>5.88</v>
      </c>
      <c r="D43" s="225"/>
      <c r="E43" s="225"/>
      <c r="F43" s="45">
        <f t="shared" si="25"/>
        <v>105</v>
      </c>
      <c r="G43" s="45">
        <f t="shared" si="25"/>
        <v>0</v>
      </c>
      <c r="H43" s="45">
        <f t="shared" si="25"/>
        <v>5</v>
      </c>
      <c r="I43" s="229" t="s">
        <v>236</v>
      </c>
      <c r="J43" s="45">
        <f>J28</f>
        <v>100</v>
      </c>
      <c r="K43" s="45">
        <f t="shared" si="28"/>
        <v>100</v>
      </c>
      <c r="L43" s="229" t="s">
        <v>236</v>
      </c>
      <c r="M43" s="229" t="s">
        <v>236</v>
      </c>
      <c r="N43" s="45">
        <f t="shared" si="29"/>
        <v>100</v>
      </c>
      <c r="O43" s="229" t="s">
        <v>236</v>
      </c>
      <c r="P43" s="44"/>
      <c r="Q43" s="229" t="s">
        <v>236</v>
      </c>
      <c r="R43" s="45">
        <f>R28</f>
        <v>100</v>
      </c>
      <c r="S43" s="229" t="s">
        <v>236</v>
      </c>
      <c r="T43" s="229" t="s">
        <v>236</v>
      </c>
      <c r="U43" s="44">
        <f t="shared" si="26"/>
        <v>0</v>
      </c>
      <c r="V43" s="229" t="s">
        <v>236</v>
      </c>
      <c r="W43" s="229" t="s">
        <v>236</v>
      </c>
      <c r="X43" s="228">
        <f t="shared" si="27"/>
        <v>5</v>
      </c>
      <c r="Y43" s="45"/>
      <c r="Z43" s="120"/>
      <c r="AA43" s="120"/>
      <c r="AB43" s="120"/>
      <c r="AC43" s="120"/>
      <c r="AE43" s="62"/>
    </row>
    <row r="44" spans="1:31" ht="15.75">
      <c r="A44" s="227" t="s">
        <v>154</v>
      </c>
      <c r="B44" s="221" t="s">
        <v>43</v>
      </c>
      <c r="C44" s="220"/>
      <c r="D44" s="228"/>
      <c r="E44" s="228"/>
      <c r="F44" s="228">
        <f>SUMPRODUCT($C$45:$C$48,F45:F48)/1000</f>
        <v>4.1160000000000002E-2</v>
      </c>
      <c r="G44" s="228">
        <f>SUMPRODUCT($C$45:$C$48,G45:G48)/1000</f>
        <v>0</v>
      </c>
      <c r="H44" s="228">
        <f>SUMPRODUCT($C$45:$C$48,H45:H48)/1000</f>
        <v>1.3720000000000001E-2</v>
      </c>
      <c r="I44" s="229" t="s">
        <v>236</v>
      </c>
      <c r="J44" s="228">
        <f>SUMPRODUCT($C$45:$C$48,J45:J48)/1000</f>
        <v>1.3720000000000001E-2</v>
      </c>
      <c r="K44" s="225">
        <f t="shared" si="28"/>
        <v>1.3720000000000001E-2</v>
      </c>
      <c r="L44" s="229" t="s">
        <v>236</v>
      </c>
      <c r="M44" s="229" t="s">
        <v>236</v>
      </c>
      <c r="N44" s="228">
        <f>SUMPRODUCT($C$45:$C$48,N45:N48)/1000</f>
        <v>1.3720000000000001E-2</v>
      </c>
      <c r="O44" s="229" t="s">
        <v>236</v>
      </c>
      <c r="P44" s="228"/>
      <c r="Q44" s="229" t="s">
        <v>236</v>
      </c>
      <c r="R44" s="228">
        <f>SUMPRODUCT($C$45:$C$48,R45:R48)/1000</f>
        <v>1.3720000000000001E-2</v>
      </c>
      <c r="S44" s="229" t="s">
        <v>236</v>
      </c>
      <c r="T44" s="229" t="s">
        <v>236</v>
      </c>
      <c r="U44" s="228">
        <f>SUMPRODUCT($C$45:$C$48,U45:U48)/1000</f>
        <v>0</v>
      </c>
      <c r="V44" s="229" t="s">
        <v>236</v>
      </c>
      <c r="W44" s="229" t="s">
        <v>236</v>
      </c>
      <c r="X44" s="228">
        <f t="shared" si="27"/>
        <v>1.3720000000000001E-2</v>
      </c>
      <c r="Y44" s="228">
        <f>F44-N44</f>
        <v>2.7439999999999999E-2</v>
      </c>
      <c r="Z44" s="122"/>
      <c r="AA44" s="122"/>
      <c r="AB44" s="122"/>
      <c r="AC44" s="122"/>
      <c r="AE44" s="59"/>
    </row>
    <row r="45" spans="1:31" ht="15.75">
      <c r="A45" s="224" t="s">
        <v>155</v>
      </c>
      <c r="B45" s="224" t="s">
        <v>90</v>
      </c>
      <c r="C45" s="223">
        <v>6</v>
      </c>
      <c r="D45" s="225"/>
      <c r="E45" s="225"/>
      <c r="F45" s="187"/>
      <c r="G45" s="187"/>
      <c r="H45" s="187"/>
      <c r="I45" s="229" t="s">
        <v>236</v>
      </c>
      <c r="J45" s="187"/>
      <c r="K45" s="225">
        <f t="shared" si="28"/>
        <v>0</v>
      </c>
      <c r="L45" s="229" t="s">
        <v>236</v>
      </c>
      <c r="M45" s="229" t="s">
        <v>236</v>
      </c>
      <c r="N45" s="187"/>
      <c r="O45" s="229" t="s">
        <v>236</v>
      </c>
      <c r="P45" s="120"/>
      <c r="Q45" s="229" t="s">
        <v>236</v>
      </c>
      <c r="R45" s="120"/>
      <c r="S45" s="229" t="s">
        <v>236</v>
      </c>
      <c r="T45" s="229" t="s">
        <v>236</v>
      </c>
      <c r="U45" s="120"/>
      <c r="V45" s="229" t="s">
        <v>236</v>
      </c>
      <c r="W45" s="229" t="s">
        <v>236</v>
      </c>
      <c r="X45" s="228">
        <f t="shared" si="27"/>
        <v>0</v>
      </c>
      <c r="Y45" s="45"/>
      <c r="Z45" s="120"/>
      <c r="AA45" s="120"/>
      <c r="AB45" s="120"/>
      <c r="AC45" s="120"/>
      <c r="AE45" s="59"/>
    </row>
    <row r="46" spans="1:31" ht="15.75">
      <c r="A46" s="224" t="s">
        <v>156</v>
      </c>
      <c r="B46" s="224" t="s">
        <v>90</v>
      </c>
      <c r="C46" s="223">
        <v>4</v>
      </c>
      <c r="D46" s="225"/>
      <c r="E46" s="225"/>
      <c r="F46" s="187"/>
      <c r="G46" s="187"/>
      <c r="H46" s="187"/>
      <c r="I46" s="229" t="s">
        <v>236</v>
      </c>
      <c r="J46" s="187"/>
      <c r="K46" s="225">
        <f t="shared" si="28"/>
        <v>0</v>
      </c>
      <c r="L46" s="229" t="s">
        <v>236</v>
      </c>
      <c r="M46" s="229" t="s">
        <v>236</v>
      </c>
      <c r="N46" s="187"/>
      <c r="O46" s="229" t="s">
        <v>236</v>
      </c>
      <c r="P46" s="120"/>
      <c r="Q46" s="229" t="s">
        <v>236</v>
      </c>
      <c r="R46" s="120"/>
      <c r="S46" s="229" t="s">
        <v>236</v>
      </c>
      <c r="T46" s="229" t="s">
        <v>236</v>
      </c>
      <c r="U46" s="120"/>
      <c r="V46" s="229" t="s">
        <v>236</v>
      </c>
      <c r="W46" s="229" t="s">
        <v>236</v>
      </c>
      <c r="X46" s="228">
        <f t="shared" si="27"/>
        <v>0</v>
      </c>
      <c r="Y46" s="45"/>
      <c r="Z46" s="120"/>
      <c r="AA46" s="120"/>
      <c r="AB46" s="120"/>
      <c r="AC46" s="120"/>
      <c r="AE46" s="62"/>
    </row>
    <row r="47" spans="1:31" ht="15.75">
      <c r="A47" s="224" t="s">
        <v>157</v>
      </c>
      <c r="B47" s="224" t="s">
        <v>90</v>
      </c>
      <c r="C47" s="223">
        <v>2</v>
      </c>
      <c r="D47" s="225"/>
      <c r="E47" s="225"/>
      <c r="F47" s="187"/>
      <c r="G47" s="187"/>
      <c r="H47" s="187"/>
      <c r="I47" s="229" t="s">
        <v>236</v>
      </c>
      <c r="J47" s="187"/>
      <c r="K47" s="225">
        <f t="shared" si="28"/>
        <v>0</v>
      </c>
      <c r="L47" s="229" t="s">
        <v>236</v>
      </c>
      <c r="M47" s="229" t="s">
        <v>236</v>
      </c>
      <c r="N47" s="187"/>
      <c r="O47" s="229" t="s">
        <v>236</v>
      </c>
      <c r="P47" s="120"/>
      <c r="Q47" s="229" t="s">
        <v>236</v>
      </c>
      <c r="R47" s="120"/>
      <c r="S47" s="229" t="s">
        <v>236</v>
      </c>
      <c r="T47" s="229" t="s">
        <v>236</v>
      </c>
      <c r="U47" s="120"/>
      <c r="V47" s="229" t="s">
        <v>236</v>
      </c>
      <c r="W47" s="229" t="s">
        <v>236</v>
      </c>
      <c r="X47" s="228">
        <f t="shared" si="27"/>
        <v>0</v>
      </c>
      <c r="Y47" s="45"/>
      <c r="Z47" s="120"/>
      <c r="AA47" s="120"/>
      <c r="AB47" s="120"/>
      <c r="AC47" s="120"/>
      <c r="AE47" s="62"/>
    </row>
    <row r="48" spans="1:31" ht="15.75">
      <c r="A48" s="224" t="s">
        <v>83</v>
      </c>
      <c r="B48" s="224" t="s">
        <v>91</v>
      </c>
      <c r="C48" s="223">
        <f>0.07*QSTBKT!B51</f>
        <v>13.72</v>
      </c>
      <c r="D48" s="225"/>
      <c r="E48" s="225"/>
      <c r="F48" s="45">
        <f>F33</f>
        <v>3</v>
      </c>
      <c r="G48" s="45">
        <f>G33</f>
        <v>0</v>
      </c>
      <c r="H48" s="45">
        <f>H33</f>
        <v>1</v>
      </c>
      <c r="I48" s="229" t="s">
        <v>236</v>
      </c>
      <c r="J48" s="45">
        <f>J33</f>
        <v>1</v>
      </c>
      <c r="K48" s="225">
        <f t="shared" si="28"/>
        <v>1</v>
      </c>
      <c r="L48" s="229" t="s">
        <v>236</v>
      </c>
      <c r="M48" s="229" t="s">
        <v>236</v>
      </c>
      <c r="N48" s="45">
        <f t="shared" ref="N48:R48" si="30">N33</f>
        <v>1</v>
      </c>
      <c r="O48" s="229" t="s">
        <v>236</v>
      </c>
      <c r="P48" s="45"/>
      <c r="Q48" s="229" t="s">
        <v>236</v>
      </c>
      <c r="R48" s="45">
        <f t="shared" si="30"/>
        <v>1</v>
      </c>
      <c r="S48" s="229" t="s">
        <v>236</v>
      </c>
      <c r="T48" s="229" t="s">
        <v>236</v>
      </c>
      <c r="U48" s="45">
        <f t="shared" ref="U48" si="31">U33</f>
        <v>0</v>
      </c>
      <c r="V48" s="229" t="s">
        <v>236</v>
      </c>
      <c r="W48" s="229" t="s">
        <v>236</v>
      </c>
      <c r="X48" s="228">
        <f t="shared" si="27"/>
        <v>1</v>
      </c>
      <c r="Y48" s="45"/>
      <c r="Z48" s="120"/>
      <c r="AA48" s="120"/>
      <c r="AB48" s="120"/>
      <c r="AC48" s="120"/>
      <c r="AE48" s="59"/>
    </row>
    <row r="49" spans="1:31" ht="15.75">
      <c r="A49" s="227" t="s">
        <v>158</v>
      </c>
      <c r="B49" s="221" t="s">
        <v>43</v>
      </c>
      <c r="C49" s="220"/>
      <c r="D49" s="228"/>
      <c r="E49" s="228"/>
      <c r="F49" s="232">
        <f>F50*$C$50/1000</f>
        <v>6.2066666666666666E-2</v>
      </c>
      <c r="G49" s="232">
        <f>G50*$C$50/1000</f>
        <v>1.6333333333333332E-2</v>
      </c>
      <c r="H49" s="232">
        <f>H50*$C$50/1000</f>
        <v>2.9399999999999999E-2</v>
      </c>
      <c r="I49" s="229" t="s">
        <v>236</v>
      </c>
      <c r="J49" s="232">
        <f>J50*$C$50/1000</f>
        <v>9.8000000000000014E-3</v>
      </c>
      <c r="K49" s="225">
        <f t="shared" si="28"/>
        <v>9.8000000000000014E-3</v>
      </c>
      <c r="L49" s="229" t="s">
        <v>236</v>
      </c>
      <c r="M49" s="229" t="s">
        <v>236</v>
      </c>
      <c r="N49" s="232">
        <f>N50*$C$50/1000</f>
        <v>9.8000000000000014E-3</v>
      </c>
      <c r="O49" s="229" t="s">
        <v>236</v>
      </c>
      <c r="P49" s="232">
        <f>N49</f>
        <v>9.8000000000000014E-3</v>
      </c>
      <c r="Q49" s="229" t="s">
        <v>236</v>
      </c>
      <c r="R49" s="232">
        <f>R50*$C$50/1000</f>
        <v>1.6333333333333332E-2</v>
      </c>
      <c r="S49" s="229" t="s">
        <v>236</v>
      </c>
      <c r="T49" s="229" t="s">
        <v>236</v>
      </c>
      <c r="U49" s="232">
        <f>U50*$C$50/1000</f>
        <v>2.2866666666666667E-2</v>
      </c>
      <c r="V49" s="229" t="s">
        <v>236</v>
      </c>
      <c r="W49" s="229" t="s">
        <v>236</v>
      </c>
      <c r="X49" s="228">
        <f t="shared" si="27"/>
        <v>2.2866666666666667E-2</v>
      </c>
      <c r="Y49" s="228">
        <f>F49-N49</f>
        <v>5.2266666666666663E-2</v>
      </c>
      <c r="Z49" s="122"/>
      <c r="AA49" s="122"/>
      <c r="AB49" s="122"/>
      <c r="AC49" s="122"/>
      <c r="AE49" s="62"/>
    </row>
    <row r="50" spans="1:31" ht="15.75">
      <c r="A50" s="224" t="s">
        <v>84</v>
      </c>
      <c r="B50" s="224" t="s">
        <v>160</v>
      </c>
      <c r="C50" s="223">
        <f>0.5*QSTBKT!B51/30</f>
        <v>3.2666666666666666</v>
      </c>
      <c r="D50" s="225"/>
      <c r="E50" s="225"/>
      <c r="F50" s="45">
        <f>F35</f>
        <v>19</v>
      </c>
      <c r="G50" s="45">
        <f>G35</f>
        <v>5</v>
      </c>
      <c r="H50" s="45">
        <f>H35</f>
        <v>9</v>
      </c>
      <c r="I50" s="229" t="s">
        <v>236</v>
      </c>
      <c r="J50" s="45">
        <f>J35</f>
        <v>3</v>
      </c>
      <c r="K50" s="225">
        <f t="shared" si="28"/>
        <v>3</v>
      </c>
      <c r="L50" s="229" t="s">
        <v>236</v>
      </c>
      <c r="M50" s="229" t="s">
        <v>236</v>
      </c>
      <c r="N50" s="45">
        <f t="shared" ref="N50:R50" si="32">N35</f>
        <v>3</v>
      </c>
      <c r="O50" s="229" t="s">
        <v>236</v>
      </c>
      <c r="P50" s="45"/>
      <c r="Q50" s="229" t="s">
        <v>236</v>
      </c>
      <c r="R50" s="45">
        <f t="shared" si="32"/>
        <v>5</v>
      </c>
      <c r="S50" s="229" t="s">
        <v>236</v>
      </c>
      <c r="T50" s="229" t="s">
        <v>236</v>
      </c>
      <c r="U50" s="45">
        <f t="shared" ref="U50" si="33">U35</f>
        <v>7</v>
      </c>
      <c r="V50" s="229" t="s">
        <v>236</v>
      </c>
      <c r="W50" s="229" t="s">
        <v>236</v>
      </c>
      <c r="X50" s="228">
        <f t="shared" si="27"/>
        <v>7</v>
      </c>
      <c r="Y50" s="45"/>
      <c r="Z50" s="120"/>
      <c r="AA50" s="120"/>
      <c r="AB50" s="120"/>
      <c r="AC50" s="120"/>
      <c r="AE50" s="62"/>
    </row>
    <row r="51" spans="1:31" ht="15.75">
      <c r="A51" s="227" t="s">
        <v>159</v>
      </c>
      <c r="B51" s="221" t="s">
        <v>43</v>
      </c>
      <c r="C51" s="225"/>
      <c r="D51" s="225"/>
      <c r="E51" s="225"/>
      <c r="F51" s="218"/>
      <c r="G51" s="218"/>
      <c r="H51" s="218"/>
      <c r="I51" s="229" t="s">
        <v>236</v>
      </c>
      <c r="J51" s="218"/>
      <c r="K51" s="225">
        <f t="shared" si="28"/>
        <v>0</v>
      </c>
      <c r="L51" s="229" t="s">
        <v>236</v>
      </c>
      <c r="M51" s="229" t="s">
        <v>236</v>
      </c>
      <c r="N51" s="218"/>
      <c r="O51" s="229" t="s">
        <v>236</v>
      </c>
      <c r="P51" s="45">
        <f>N51</f>
        <v>0</v>
      </c>
      <c r="Q51" s="229" t="s">
        <v>236</v>
      </c>
      <c r="R51" s="125"/>
      <c r="S51" s="229" t="s">
        <v>236</v>
      </c>
      <c r="T51" s="229" t="s">
        <v>236</v>
      </c>
      <c r="U51" s="44">
        <f t="shared" ref="U51" si="34">G51+R51-N51</f>
        <v>0</v>
      </c>
      <c r="V51" s="229" t="s">
        <v>236</v>
      </c>
      <c r="W51" s="229" t="s">
        <v>236</v>
      </c>
      <c r="X51" s="228">
        <f t="shared" si="27"/>
        <v>0</v>
      </c>
      <c r="Y51" s="228">
        <f>F51-N51</f>
        <v>0</v>
      </c>
      <c r="Z51" s="120"/>
      <c r="AA51" s="120"/>
      <c r="AB51" s="120"/>
      <c r="AC51" s="120"/>
      <c r="AE51" s="59"/>
    </row>
    <row r="52" spans="1:31" ht="15.75">
      <c r="A52" s="230" t="s">
        <v>317</v>
      </c>
      <c r="B52" s="230"/>
      <c r="C52" s="231"/>
      <c r="D52" s="231"/>
      <c r="E52" s="231"/>
      <c r="F52" s="242">
        <f>F53+F59+F64+F66</f>
        <v>3.568163333333334</v>
      </c>
      <c r="G52" s="242">
        <f t="shared" ref="G52:J52" si="35">G53+G59+G64+G66</f>
        <v>0.68741666666666668</v>
      </c>
      <c r="H52" s="242">
        <f t="shared" si="35"/>
        <v>1.4430099999999999</v>
      </c>
      <c r="I52" s="245" t="s">
        <v>236</v>
      </c>
      <c r="J52" s="242">
        <f t="shared" si="35"/>
        <v>1.0701099999999999</v>
      </c>
      <c r="K52" s="239">
        <f t="shared" si="28"/>
        <v>1.0701099999999999</v>
      </c>
      <c r="L52" s="245" t="s">
        <v>236</v>
      </c>
      <c r="M52" s="245" t="s">
        <v>236</v>
      </c>
      <c r="N52" s="242">
        <f t="shared" ref="N52" si="36">N53+N59+N64+N66</f>
        <v>1.0701099999999999</v>
      </c>
      <c r="O52" s="245" t="s">
        <v>236</v>
      </c>
      <c r="P52" s="242">
        <f>N52</f>
        <v>1.0701099999999999</v>
      </c>
      <c r="Q52" s="245" t="s">
        <v>236</v>
      </c>
      <c r="R52" s="242">
        <f t="shared" ref="R52" si="37">R53+R59+R64+R66</f>
        <v>1.4298266666666668</v>
      </c>
      <c r="S52" s="245" t="s">
        <v>236</v>
      </c>
      <c r="T52" s="245" t="s">
        <v>236</v>
      </c>
      <c r="U52" s="242">
        <f t="shared" ref="U52" si="38">U53+U59+U64+U66</f>
        <v>1.0471333333333332</v>
      </c>
      <c r="V52" s="245" t="s">
        <v>236</v>
      </c>
      <c r="W52" s="245" t="s">
        <v>236</v>
      </c>
      <c r="X52" s="242">
        <f t="shared" ref="X52:Y52" si="39">X53+X59+X64+X66</f>
        <v>1.0832933333333328</v>
      </c>
      <c r="Y52" s="242">
        <f t="shared" si="39"/>
        <v>2.4980533333333339</v>
      </c>
      <c r="Z52" s="121"/>
      <c r="AA52" s="121"/>
      <c r="AB52" s="121"/>
      <c r="AC52" s="121"/>
      <c r="AE52" s="62"/>
    </row>
    <row r="53" spans="1:31" ht="15.75">
      <c r="A53" s="235" t="s">
        <v>153</v>
      </c>
      <c r="B53" s="235" t="s">
        <v>43</v>
      </c>
      <c r="C53" s="231"/>
      <c r="D53" s="231"/>
      <c r="E53" s="231"/>
      <c r="F53" s="244">
        <f>SUMPRODUCT($C$54:$C$58,F54:F58)/1000</f>
        <v>3.5086500000000007</v>
      </c>
      <c r="G53" s="244">
        <f>SUMPRODUCT($C$54:$C$58,G54:G58)/1000</f>
        <v>0.67800000000000005</v>
      </c>
      <c r="H53" s="244">
        <f>SUMPRODUCT($C$54:$C$58,H54:H58)/1000</f>
        <v>1.4181499999999998</v>
      </c>
      <c r="I53" s="245" t="s">
        <v>236</v>
      </c>
      <c r="J53" s="244">
        <f>SUMPRODUCT($C$54:$C$58,J54:J58)/1000</f>
        <v>1.0565499999999999</v>
      </c>
      <c r="K53" s="239">
        <f t="shared" si="28"/>
        <v>1.0565499999999999</v>
      </c>
      <c r="L53" s="245" t="s">
        <v>236</v>
      </c>
      <c r="M53" s="245" t="s">
        <v>236</v>
      </c>
      <c r="N53" s="244">
        <f>SUMPRODUCT($C$54:$C$58,N54:N58)/1000</f>
        <v>1.0565499999999999</v>
      </c>
      <c r="O53" s="245" t="s">
        <v>236</v>
      </c>
      <c r="P53" s="242">
        <f>N53</f>
        <v>1.0565499999999999</v>
      </c>
      <c r="Q53" s="245" t="s">
        <v>236</v>
      </c>
      <c r="R53" s="126">
        <f>SUMPRODUCT($C$54:$C$58,R54:R58)/1000</f>
        <v>1.4125000000000001</v>
      </c>
      <c r="S53" s="245" t="s">
        <v>236</v>
      </c>
      <c r="T53" s="245" t="s">
        <v>236</v>
      </c>
      <c r="U53" s="244">
        <f>SUMPRODUCT($C$54:$C$58,U54:U58)/1000</f>
        <v>1.0339499999999999</v>
      </c>
      <c r="V53" s="245" t="s">
        <v>236</v>
      </c>
      <c r="W53" s="245" t="s">
        <v>236</v>
      </c>
      <c r="X53" s="242">
        <f>H53+J53-R53</f>
        <v>1.0621999999999994</v>
      </c>
      <c r="Y53" s="242">
        <f>F53-N53</f>
        <v>2.4521000000000006</v>
      </c>
      <c r="Z53" s="121"/>
      <c r="AA53" s="121"/>
      <c r="AB53" s="121"/>
      <c r="AC53" s="121"/>
      <c r="AE53" s="62"/>
    </row>
    <row r="54" spans="1:31" ht="15.75">
      <c r="A54" s="236" t="s">
        <v>308</v>
      </c>
      <c r="B54" s="236" t="s">
        <v>88</v>
      </c>
      <c r="C54" s="237">
        <f>1.2*QSTBKT!B62</f>
        <v>135.6</v>
      </c>
      <c r="D54" s="237"/>
      <c r="E54" s="237"/>
      <c r="F54" s="246">
        <f>F39</f>
        <v>19</v>
      </c>
      <c r="G54" s="246">
        <f>G39</f>
        <v>5</v>
      </c>
      <c r="H54" s="246">
        <f>H39</f>
        <v>9</v>
      </c>
      <c r="I54" s="245" t="s">
        <v>236</v>
      </c>
      <c r="J54" s="246">
        <f>J39</f>
        <v>3</v>
      </c>
      <c r="K54" s="239">
        <f t="shared" si="28"/>
        <v>3</v>
      </c>
      <c r="L54" s="245" t="s">
        <v>236</v>
      </c>
      <c r="M54" s="245" t="s">
        <v>236</v>
      </c>
      <c r="N54" s="246">
        <f>N39</f>
        <v>3</v>
      </c>
      <c r="O54" s="245" t="s">
        <v>236</v>
      </c>
      <c r="P54" s="246"/>
      <c r="Q54" s="245" t="s">
        <v>236</v>
      </c>
      <c r="R54" s="246">
        <f>R39</f>
        <v>5</v>
      </c>
      <c r="S54" s="245" t="s">
        <v>236</v>
      </c>
      <c r="T54" s="245" t="s">
        <v>236</v>
      </c>
      <c r="U54" s="248">
        <f t="shared" ref="U54:U58" si="40">G54+R54-N54</f>
        <v>7</v>
      </c>
      <c r="V54" s="245" t="s">
        <v>236</v>
      </c>
      <c r="W54" s="245" t="s">
        <v>236</v>
      </c>
      <c r="X54" s="242">
        <f t="shared" ref="X54:X66" si="41">H54+J54-R54</f>
        <v>7</v>
      </c>
      <c r="Y54" s="246"/>
      <c r="Z54" s="120"/>
      <c r="AA54" s="120"/>
      <c r="AB54" s="120"/>
      <c r="AC54" s="120"/>
      <c r="AE54" s="59"/>
    </row>
    <row r="55" spans="1:31" ht="15.75">
      <c r="A55" s="238" t="s">
        <v>151</v>
      </c>
      <c r="B55" s="236" t="s">
        <v>88</v>
      </c>
      <c r="C55" s="237">
        <f>0.75*QSTBKT!B62</f>
        <v>84.75</v>
      </c>
      <c r="D55" s="239"/>
      <c r="E55" s="239"/>
      <c r="F55" s="246">
        <f t="shared" ref="F55:J58" si="42">F40</f>
        <v>4</v>
      </c>
      <c r="G55" s="246">
        <f t="shared" si="42"/>
        <v>0</v>
      </c>
      <c r="H55" s="246">
        <f t="shared" si="42"/>
        <v>2</v>
      </c>
      <c r="I55" s="245" t="s">
        <v>236</v>
      </c>
      <c r="J55" s="246">
        <f t="shared" si="42"/>
        <v>1</v>
      </c>
      <c r="K55" s="239">
        <f t="shared" si="28"/>
        <v>1</v>
      </c>
      <c r="L55" s="245" t="s">
        <v>236</v>
      </c>
      <c r="M55" s="245" t="s">
        <v>236</v>
      </c>
      <c r="N55" s="246">
        <f t="shared" ref="N55:N58" si="43">N40</f>
        <v>1</v>
      </c>
      <c r="O55" s="245" t="s">
        <v>236</v>
      </c>
      <c r="P55" s="246"/>
      <c r="Q55" s="245" t="s">
        <v>236</v>
      </c>
      <c r="R55" s="246">
        <f t="shared" ref="R55:R58" si="44">R40</f>
        <v>2</v>
      </c>
      <c r="S55" s="245" t="s">
        <v>236</v>
      </c>
      <c r="T55" s="245" t="s">
        <v>236</v>
      </c>
      <c r="U55" s="248">
        <f t="shared" si="40"/>
        <v>1</v>
      </c>
      <c r="V55" s="245" t="s">
        <v>236</v>
      </c>
      <c r="W55" s="245" t="s">
        <v>236</v>
      </c>
      <c r="X55" s="242">
        <f t="shared" si="41"/>
        <v>1</v>
      </c>
      <c r="Y55" s="246"/>
      <c r="Z55" s="120"/>
      <c r="AA55" s="120"/>
      <c r="AB55" s="120"/>
      <c r="AC55" s="120"/>
      <c r="AE55" s="62"/>
    </row>
    <row r="56" spans="1:31" ht="15.75">
      <c r="A56" s="238" t="s">
        <v>80</v>
      </c>
      <c r="B56" s="237" t="s">
        <v>89</v>
      </c>
      <c r="C56" s="274" t="s">
        <v>236</v>
      </c>
      <c r="D56" s="239"/>
      <c r="E56" s="239"/>
      <c r="F56" s="246" t="str">
        <f t="shared" si="42"/>
        <v>-</v>
      </c>
      <c r="G56" s="246" t="str">
        <f t="shared" si="42"/>
        <v>-</v>
      </c>
      <c r="H56" s="246" t="str">
        <f t="shared" si="42"/>
        <v>-</v>
      </c>
      <c r="I56" s="245" t="s">
        <v>236</v>
      </c>
      <c r="J56" s="246" t="str">
        <f t="shared" si="42"/>
        <v>-</v>
      </c>
      <c r="K56" s="239" t="str">
        <f t="shared" si="28"/>
        <v>-</v>
      </c>
      <c r="L56" s="245" t="s">
        <v>236</v>
      </c>
      <c r="M56" s="245" t="s">
        <v>236</v>
      </c>
      <c r="N56" s="246" t="str">
        <f t="shared" si="43"/>
        <v>-</v>
      </c>
      <c r="O56" s="245" t="s">
        <v>236</v>
      </c>
      <c r="P56" s="246"/>
      <c r="Q56" s="245" t="s">
        <v>236</v>
      </c>
      <c r="R56" s="246" t="str">
        <f t="shared" si="44"/>
        <v>-</v>
      </c>
      <c r="S56" s="245" t="s">
        <v>236</v>
      </c>
      <c r="T56" s="245" t="s">
        <v>236</v>
      </c>
      <c r="U56" s="249" t="s">
        <v>236</v>
      </c>
      <c r="V56" s="245" t="s">
        <v>236</v>
      </c>
      <c r="W56" s="245" t="s">
        <v>236</v>
      </c>
      <c r="X56" s="250" t="s">
        <v>236</v>
      </c>
      <c r="Y56" s="250" t="s">
        <v>236</v>
      </c>
      <c r="Z56" s="120"/>
      <c r="AA56" s="120"/>
      <c r="AB56" s="120"/>
      <c r="AC56" s="120"/>
      <c r="AE56" s="59"/>
    </row>
    <row r="57" spans="1:31">
      <c r="A57" s="238" t="s">
        <v>85</v>
      </c>
      <c r="B57" s="237" t="s">
        <v>89</v>
      </c>
      <c r="C57" s="237">
        <f>0.01*QSTBKT!B62*2</f>
        <v>2.2600000000000002</v>
      </c>
      <c r="D57" s="239"/>
      <c r="E57" s="239"/>
      <c r="F57" s="246">
        <f t="shared" si="42"/>
        <v>105</v>
      </c>
      <c r="G57" s="246">
        <f t="shared" si="42"/>
        <v>0</v>
      </c>
      <c r="H57" s="246">
        <f t="shared" si="42"/>
        <v>5</v>
      </c>
      <c r="I57" s="245" t="s">
        <v>236</v>
      </c>
      <c r="J57" s="246">
        <f t="shared" si="42"/>
        <v>100</v>
      </c>
      <c r="K57" s="239">
        <f t="shared" si="28"/>
        <v>100</v>
      </c>
      <c r="L57" s="245" t="s">
        <v>236</v>
      </c>
      <c r="M57" s="245" t="s">
        <v>236</v>
      </c>
      <c r="N57" s="246">
        <f t="shared" si="43"/>
        <v>100</v>
      </c>
      <c r="O57" s="245" t="s">
        <v>236</v>
      </c>
      <c r="P57" s="246"/>
      <c r="Q57" s="245" t="s">
        <v>236</v>
      </c>
      <c r="R57" s="246">
        <f t="shared" si="44"/>
        <v>100</v>
      </c>
      <c r="S57" s="245" t="s">
        <v>236</v>
      </c>
      <c r="T57" s="245" t="s">
        <v>236</v>
      </c>
      <c r="U57" s="248">
        <f t="shared" si="40"/>
        <v>0</v>
      </c>
      <c r="V57" s="245" t="s">
        <v>236</v>
      </c>
      <c r="W57" s="245" t="s">
        <v>236</v>
      </c>
      <c r="X57" s="242">
        <f t="shared" si="41"/>
        <v>5</v>
      </c>
      <c r="Y57" s="246"/>
      <c r="Z57" s="120"/>
      <c r="AA57" s="120"/>
      <c r="AB57" s="120"/>
      <c r="AC57" s="120"/>
    </row>
    <row r="58" spans="1:31">
      <c r="A58" s="240" t="s">
        <v>82</v>
      </c>
      <c r="B58" s="237" t="s">
        <v>89</v>
      </c>
      <c r="C58" s="237">
        <f>0.01*QSTBKT!B62*3</f>
        <v>3.3900000000000006</v>
      </c>
      <c r="D58" s="239"/>
      <c r="E58" s="239"/>
      <c r="F58" s="246">
        <f t="shared" si="42"/>
        <v>105</v>
      </c>
      <c r="G58" s="246">
        <f t="shared" si="42"/>
        <v>0</v>
      </c>
      <c r="H58" s="246">
        <f t="shared" si="42"/>
        <v>5</v>
      </c>
      <c r="I58" s="245" t="s">
        <v>236</v>
      </c>
      <c r="J58" s="246">
        <f t="shared" si="42"/>
        <v>100</v>
      </c>
      <c r="K58" s="239">
        <f t="shared" si="28"/>
        <v>100</v>
      </c>
      <c r="L58" s="245" t="s">
        <v>236</v>
      </c>
      <c r="M58" s="245" t="s">
        <v>236</v>
      </c>
      <c r="N58" s="246">
        <f t="shared" si="43"/>
        <v>100</v>
      </c>
      <c r="O58" s="245" t="s">
        <v>236</v>
      </c>
      <c r="P58" s="246"/>
      <c r="Q58" s="245" t="s">
        <v>236</v>
      </c>
      <c r="R58" s="246">
        <f t="shared" si="44"/>
        <v>100</v>
      </c>
      <c r="S58" s="245" t="s">
        <v>236</v>
      </c>
      <c r="T58" s="245" t="s">
        <v>236</v>
      </c>
      <c r="U58" s="248">
        <f t="shared" si="40"/>
        <v>0</v>
      </c>
      <c r="V58" s="245" t="s">
        <v>236</v>
      </c>
      <c r="W58" s="245" t="s">
        <v>236</v>
      </c>
      <c r="X58" s="242">
        <f t="shared" si="41"/>
        <v>5</v>
      </c>
      <c r="Y58" s="246"/>
      <c r="Z58" s="120"/>
      <c r="AA58" s="120"/>
      <c r="AB58" s="120"/>
      <c r="AC58" s="120"/>
    </row>
    <row r="59" spans="1:31">
      <c r="A59" s="241" t="s">
        <v>154</v>
      </c>
      <c r="B59" s="235" t="s">
        <v>43</v>
      </c>
      <c r="C59" s="231"/>
      <c r="D59" s="242"/>
      <c r="E59" s="242"/>
      <c r="F59" s="247">
        <f>SUMPRODUCT($C$60:$C$63,F60:F63)/1000</f>
        <v>2.3730000000000005E-2</v>
      </c>
      <c r="G59" s="247">
        <f>SUMPRODUCT($C$60:$C$63,G60:G63)/1000</f>
        <v>0</v>
      </c>
      <c r="H59" s="247">
        <f>SUMPRODUCT($C$60:$C$63,H60:H63)/1000</f>
        <v>7.9100000000000004E-3</v>
      </c>
      <c r="I59" s="245" t="s">
        <v>236</v>
      </c>
      <c r="J59" s="247">
        <f>SUMPRODUCT($C$60:$C$63,J60:J63)/1000</f>
        <v>7.9100000000000004E-3</v>
      </c>
      <c r="K59" s="239">
        <f t="shared" si="28"/>
        <v>7.9100000000000004E-3</v>
      </c>
      <c r="L59" s="245" t="s">
        <v>236</v>
      </c>
      <c r="M59" s="245" t="s">
        <v>236</v>
      </c>
      <c r="N59" s="247">
        <f>SUMPRODUCT($C$60:$C$63,N60:N63)/1000</f>
        <v>7.9100000000000004E-3</v>
      </c>
      <c r="O59" s="245" t="s">
        <v>236</v>
      </c>
      <c r="P59" s="242">
        <f>N59</f>
        <v>7.9100000000000004E-3</v>
      </c>
      <c r="Q59" s="245" t="s">
        <v>236</v>
      </c>
      <c r="R59" s="247">
        <f>SUMPRODUCT($C$60:$C$63,R60:R63)/1000</f>
        <v>7.9100000000000004E-3</v>
      </c>
      <c r="S59" s="245" t="s">
        <v>236</v>
      </c>
      <c r="T59" s="245" t="s">
        <v>236</v>
      </c>
      <c r="U59" s="247">
        <f>SUMPRODUCT($C$60:$C$63,U60:U63)/1000</f>
        <v>0</v>
      </c>
      <c r="V59" s="245" t="s">
        <v>236</v>
      </c>
      <c r="W59" s="245" t="s">
        <v>236</v>
      </c>
      <c r="X59" s="242">
        <f t="shared" si="41"/>
        <v>7.9100000000000004E-3</v>
      </c>
      <c r="Y59" s="242">
        <f>F59-N59</f>
        <v>1.5820000000000004E-2</v>
      </c>
      <c r="Z59" s="122"/>
      <c r="AA59" s="122"/>
      <c r="AB59" s="122"/>
      <c r="AC59" s="122"/>
    </row>
    <row r="60" spans="1:31">
      <c r="A60" s="238" t="s">
        <v>155</v>
      </c>
      <c r="B60" s="238" t="s">
        <v>90</v>
      </c>
      <c r="C60" s="237">
        <v>6</v>
      </c>
      <c r="D60" s="239"/>
      <c r="E60" s="239"/>
      <c r="F60" s="187"/>
      <c r="G60" s="187"/>
      <c r="H60" s="187"/>
      <c r="I60" s="245" t="s">
        <v>236</v>
      </c>
      <c r="J60" s="187"/>
      <c r="K60" s="239">
        <f t="shared" si="28"/>
        <v>0</v>
      </c>
      <c r="L60" s="245" t="s">
        <v>236</v>
      </c>
      <c r="M60" s="245" t="s">
        <v>236</v>
      </c>
      <c r="N60" s="187"/>
      <c r="O60" s="245" t="s">
        <v>236</v>
      </c>
      <c r="P60" s="246"/>
      <c r="Q60" s="245" t="s">
        <v>236</v>
      </c>
      <c r="R60" s="120"/>
      <c r="S60" s="245" t="s">
        <v>236</v>
      </c>
      <c r="T60" s="245" t="s">
        <v>236</v>
      </c>
      <c r="U60" s="120"/>
      <c r="V60" s="245" t="s">
        <v>236</v>
      </c>
      <c r="W60" s="245" t="s">
        <v>236</v>
      </c>
      <c r="X60" s="242">
        <f t="shared" si="41"/>
        <v>0</v>
      </c>
      <c r="Y60" s="246"/>
      <c r="Z60" s="120"/>
      <c r="AA60" s="120"/>
      <c r="AB60" s="120"/>
      <c r="AC60" s="120"/>
    </row>
    <row r="61" spans="1:31">
      <c r="A61" s="238" t="s">
        <v>156</v>
      </c>
      <c r="B61" s="238" t="s">
        <v>90</v>
      </c>
      <c r="C61" s="237">
        <v>4</v>
      </c>
      <c r="D61" s="239"/>
      <c r="E61" s="239"/>
      <c r="F61" s="187"/>
      <c r="G61" s="187"/>
      <c r="H61" s="187"/>
      <c r="I61" s="245" t="s">
        <v>236</v>
      </c>
      <c r="J61" s="187"/>
      <c r="K61" s="239">
        <f t="shared" si="28"/>
        <v>0</v>
      </c>
      <c r="L61" s="245" t="s">
        <v>236</v>
      </c>
      <c r="M61" s="245" t="s">
        <v>236</v>
      </c>
      <c r="N61" s="187"/>
      <c r="O61" s="245" t="s">
        <v>236</v>
      </c>
      <c r="P61" s="246"/>
      <c r="Q61" s="245" t="s">
        <v>236</v>
      </c>
      <c r="R61" s="120"/>
      <c r="S61" s="245" t="s">
        <v>236</v>
      </c>
      <c r="T61" s="245" t="s">
        <v>236</v>
      </c>
      <c r="U61" s="120"/>
      <c r="V61" s="245" t="s">
        <v>236</v>
      </c>
      <c r="W61" s="245" t="s">
        <v>236</v>
      </c>
      <c r="X61" s="242">
        <f t="shared" si="41"/>
        <v>0</v>
      </c>
      <c r="Y61" s="246"/>
      <c r="Z61" s="120"/>
      <c r="AA61" s="120"/>
      <c r="AB61" s="120"/>
      <c r="AC61" s="120"/>
    </row>
    <row r="62" spans="1:31">
      <c r="A62" s="238" t="s">
        <v>157</v>
      </c>
      <c r="B62" s="238" t="s">
        <v>90</v>
      </c>
      <c r="C62" s="237">
        <v>2</v>
      </c>
      <c r="D62" s="239"/>
      <c r="E62" s="239"/>
      <c r="F62" s="187"/>
      <c r="G62" s="187"/>
      <c r="H62" s="187"/>
      <c r="I62" s="245" t="s">
        <v>236</v>
      </c>
      <c r="J62" s="187"/>
      <c r="K62" s="239">
        <f t="shared" si="28"/>
        <v>0</v>
      </c>
      <c r="L62" s="245" t="s">
        <v>236</v>
      </c>
      <c r="M62" s="245" t="s">
        <v>236</v>
      </c>
      <c r="N62" s="187"/>
      <c r="O62" s="245" t="s">
        <v>236</v>
      </c>
      <c r="P62" s="246"/>
      <c r="Q62" s="245" t="s">
        <v>236</v>
      </c>
      <c r="R62" s="120"/>
      <c r="S62" s="245" t="s">
        <v>236</v>
      </c>
      <c r="T62" s="245" t="s">
        <v>236</v>
      </c>
      <c r="U62" s="120"/>
      <c r="V62" s="245" t="s">
        <v>236</v>
      </c>
      <c r="W62" s="245" t="s">
        <v>236</v>
      </c>
      <c r="X62" s="242">
        <f t="shared" si="41"/>
        <v>0</v>
      </c>
      <c r="Y62" s="246"/>
      <c r="Z62" s="120"/>
      <c r="AA62" s="120"/>
      <c r="AB62" s="120"/>
      <c r="AC62" s="120"/>
    </row>
    <row r="63" spans="1:31">
      <c r="A63" s="238" t="s">
        <v>83</v>
      </c>
      <c r="B63" s="238" t="s">
        <v>91</v>
      </c>
      <c r="C63" s="237">
        <f>0.07*QSTBKT!B62</f>
        <v>7.910000000000001</v>
      </c>
      <c r="D63" s="239"/>
      <c r="E63" s="239"/>
      <c r="F63" s="246">
        <f>F48</f>
        <v>3</v>
      </c>
      <c r="G63" s="246">
        <f>G48</f>
        <v>0</v>
      </c>
      <c r="H63" s="246">
        <f>H48</f>
        <v>1</v>
      </c>
      <c r="I63" s="245" t="s">
        <v>236</v>
      </c>
      <c r="J63" s="246">
        <f>J48</f>
        <v>1</v>
      </c>
      <c r="K63" s="239">
        <f t="shared" si="28"/>
        <v>1</v>
      </c>
      <c r="L63" s="245" t="s">
        <v>236</v>
      </c>
      <c r="M63" s="245" t="s">
        <v>236</v>
      </c>
      <c r="N63" s="246">
        <f t="shared" ref="N63" si="45">N48</f>
        <v>1</v>
      </c>
      <c r="O63" s="245" t="s">
        <v>236</v>
      </c>
      <c r="P63" s="246"/>
      <c r="Q63" s="245" t="s">
        <v>236</v>
      </c>
      <c r="R63" s="246">
        <f>R48</f>
        <v>1</v>
      </c>
      <c r="S63" s="245" t="s">
        <v>236</v>
      </c>
      <c r="T63" s="245" t="s">
        <v>236</v>
      </c>
      <c r="U63" s="248">
        <f t="shared" ref="U63:U66" si="46">G63+R63-N63</f>
        <v>0</v>
      </c>
      <c r="V63" s="245" t="s">
        <v>236</v>
      </c>
      <c r="W63" s="245" t="s">
        <v>236</v>
      </c>
      <c r="X63" s="242">
        <f t="shared" si="41"/>
        <v>1</v>
      </c>
      <c r="Y63" s="246"/>
      <c r="Z63" s="120"/>
      <c r="AA63" s="120"/>
      <c r="AB63" s="120"/>
      <c r="AC63" s="120"/>
    </row>
    <row r="64" spans="1:31">
      <c r="A64" s="241" t="s">
        <v>158</v>
      </c>
      <c r="B64" s="235" t="s">
        <v>43</v>
      </c>
      <c r="C64" s="231"/>
      <c r="D64" s="242"/>
      <c r="E64" s="242"/>
      <c r="F64" s="247">
        <f>F65*$C$65/1000</f>
        <v>3.5783333333333334E-2</v>
      </c>
      <c r="G64" s="247">
        <f>G65*$C$65/1000</f>
        <v>9.4166666666666669E-3</v>
      </c>
      <c r="H64" s="247">
        <f>H65*$C$65/1000</f>
        <v>1.695E-2</v>
      </c>
      <c r="I64" s="245" t="s">
        <v>236</v>
      </c>
      <c r="J64" s="247">
        <f>J65*$C$65/1000</f>
        <v>5.6500000000000005E-3</v>
      </c>
      <c r="K64" s="239">
        <f t="shared" si="28"/>
        <v>5.6500000000000005E-3</v>
      </c>
      <c r="L64" s="245" t="s">
        <v>236</v>
      </c>
      <c r="M64" s="245" t="s">
        <v>236</v>
      </c>
      <c r="N64" s="247">
        <f>N65*$C$65/1000</f>
        <v>5.6500000000000005E-3</v>
      </c>
      <c r="O64" s="245" t="s">
        <v>236</v>
      </c>
      <c r="P64" s="242">
        <f>N64</f>
        <v>5.6500000000000005E-3</v>
      </c>
      <c r="Q64" s="245" t="s">
        <v>236</v>
      </c>
      <c r="R64" s="247">
        <f>R65*$C$65/1000</f>
        <v>9.4166666666666669E-3</v>
      </c>
      <c r="S64" s="245" t="s">
        <v>236</v>
      </c>
      <c r="T64" s="245" t="s">
        <v>236</v>
      </c>
      <c r="U64" s="247">
        <f>U65*$C$65/1000</f>
        <v>1.3183333333333333E-2</v>
      </c>
      <c r="V64" s="245" t="s">
        <v>236</v>
      </c>
      <c r="W64" s="245" t="s">
        <v>236</v>
      </c>
      <c r="X64" s="242">
        <f t="shared" si="41"/>
        <v>1.3183333333333335E-2</v>
      </c>
      <c r="Y64" s="242">
        <f>F64-N64</f>
        <v>3.0133333333333331E-2</v>
      </c>
      <c r="Z64" s="122"/>
      <c r="AA64" s="122"/>
      <c r="AB64" s="122"/>
      <c r="AC64" s="122"/>
    </row>
    <row r="65" spans="1:29">
      <c r="A65" s="238" t="s">
        <v>84</v>
      </c>
      <c r="B65" s="238" t="s">
        <v>160</v>
      </c>
      <c r="C65" s="237">
        <f>0.5*QSTBKT!B62/30</f>
        <v>1.8833333333333333</v>
      </c>
      <c r="D65" s="239"/>
      <c r="E65" s="239"/>
      <c r="F65" s="246">
        <f>F50</f>
        <v>19</v>
      </c>
      <c r="G65" s="246">
        <f>G50</f>
        <v>5</v>
      </c>
      <c r="H65" s="246">
        <f>H50</f>
        <v>9</v>
      </c>
      <c r="I65" s="245" t="s">
        <v>236</v>
      </c>
      <c r="J65" s="246">
        <f>J50</f>
        <v>3</v>
      </c>
      <c r="K65" s="239">
        <f t="shared" si="28"/>
        <v>3</v>
      </c>
      <c r="L65" s="245" t="s">
        <v>236</v>
      </c>
      <c r="M65" s="245" t="s">
        <v>236</v>
      </c>
      <c r="N65" s="246">
        <f t="shared" ref="N65" si="47">N50</f>
        <v>3</v>
      </c>
      <c r="O65" s="245" t="s">
        <v>236</v>
      </c>
      <c r="P65" s="246"/>
      <c r="Q65" s="245" t="s">
        <v>236</v>
      </c>
      <c r="R65" s="246">
        <f>R50</f>
        <v>5</v>
      </c>
      <c r="S65" s="245" t="s">
        <v>236</v>
      </c>
      <c r="T65" s="245" t="s">
        <v>236</v>
      </c>
      <c r="U65" s="248">
        <f t="shared" si="46"/>
        <v>7</v>
      </c>
      <c r="V65" s="245" t="s">
        <v>236</v>
      </c>
      <c r="W65" s="245" t="s">
        <v>236</v>
      </c>
      <c r="X65" s="242">
        <f t="shared" si="41"/>
        <v>7</v>
      </c>
      <c r="Y65" s="246"/>
      <c r="Z65" s="120"/>
      <c r="AA65" s="120"/>
      <c r="AB65" s="120"/>
      <c r="AC65" s="120"/>
    </row>
    <row r="66" spans="1:29">
      <c r="A66" s="241" t="s">
        <v>159</v>
      </c>
      <c r="B66" s="235" t="s">
        <v>43</v>
      </c>
      <c r="C66" s="239"/>
      <c r="D66" s="243"/>
      <c r="E66" s="239"/>
      <c r="F66" s="218"/>
      <c r="G66" s="218"/>
      <c r="H66" s="218"/>
      <c r="I66" s="245" t="s">
        <v>236</v>
      </c>
      <c r="J66" s="218"/>
      <c r="K66" s="239">
        <f t="shared" si="28"/>
        <v>0</v>
      </c>
      <c r="L66" s="245" t="s">
        <v>236</v>
      </c>
      <c r="M66" s="245" t="s">
        <v>236</v>
      </c>
      <c r="N66" s="218"/>
      <c r="O66" s="245" t="s">
        <v>236</v>
      </c>
      <c r="P66" s="248">
        <f>N66</f>
        <v>0</v>
      </c>
      <c r="Q66" s="245" t="s">
        <v>236</v>
      </c>
      <c r="R66" s="125"/>
      <c r="S66" s="245" t="s">
        <v>236</v>
      </c>
      <c r="T66" s="245" t="s">
        <v>236</v>
      </c>
      <c r="U66" s="248">
        <f t="shared" si="46"/>
        <v>0</v>
      </c>
      <c r="V66" s="245" t="s">
        <v>236</v>
      </c>
      <c r="W66" s="245" t="s">
        <v>236</v>
      </c>
      <c r="X66" s="242">
        <f t="shared" si="41"/>
        <v>0</v>
      </c>
      <c r="Y66" s="242">
        <f>F66-N66</f>
        <v>0</v>
      </c>
      <c r="Z66" s="120"/>
      <c r="AA66" s="120"/>
      <c r="AB66" s="120"/>
      <c r="AC66" s="120"/>
    </row>
    <row r="67" spans="1:29">
      <c r="A67" s="46" t="s">
        <v>163</v>
      </c>
      <c r="B67" s="46"/>
      <c r="C67" s="47"/>
      <c r="D67" s="47"/>
      <c r="E67" s="47"/>
      <c r="F67" s="56">
        <f>F68+F74+F79+F81</f>
        <v>13.580067999999999</v>
      </c>
      <c r="G67" s="56">
        <f t="shared" ref="G67:K67" si="48">G68+G74+G79+G81</f>
        <v>2.4359999999999991</v>
      </c>
      <c r="H67" s="56">
        <f t="shared" si="48"/>
        <v>5.6737159999999989</v>
      </c>
      <c r="I67" s="270" t="s">
        <v>236</v>
      </c>
      <c r="J67" s="56">
        <f t="shared" si="48"/>
        <v>3.9973499999999991</v>
      </c>
      <c r="K67" s="56">
        <f t="shared" si="48"/>
        <v>3.9973499999999991</v>
      </c>
      <c r="L67" s="270" t="s">
        <v>236</v>
      </c>
      <c r="M67" s="270" t="s">
        <v>236</v>
      </c>
      <c r="N67" s="56">
        <f t="shared" ref="N67" si="49">N68+N74+N79+N81</f>
        <v>3.7810540000000001</v>
      </c>
      <c r="O67" s="56">
        <f t="shared" ref="O67" si="50">O68+O74+O79+O81</f>
        <v>3.6364799999999997</v>
      </c>
      <c r="P67" s="56">
        <f t="shared" ref="P67" si="51">P68+P74+P79+P81</f>
        <v>7.4175339999999998</v>
      </c>
      <c r="Q67" s="270" t="s">
        <v>236</v>
      </c>
      <c r="R67" s="56">
        <f t="shared" ref="R67" si="52">R68+R74+R79+R81</f>
        <v>5.2151939999999994</v>
      </c>
      <c r="S67" s="270" t="s">
        <v>236</v>
      </c>
      <c r="T67" s="270" t="s">
        <v>236</v>
      </c>
      <c r="U67" s="56">
        <f t="shared" ref="U67" si="53">U68+U74+U79+U81</f>
        <v>2.8923666666666663</v>
      </c>
      <c r="V67" s="56">
        <f>V68+V74+V79</f>
        <v>4.216333333333333</v>
      </c>
      <c r="W67" s="270" t="s">
        <v>236</v>
      </c>
      <c r="X67" s="56">
        <f t="shared" ref="X67:Y67" si="54">X68+X74+X79+X81</f>
        <v>10.370845333333332</v>
      </c>
      <c r="Y67" s="56">
        <f t="shared" si="54"/>
        <v>9.7990139999999979</v>
      </c>
      <c r="Z67" s="121"/>
      <c r="AA67" s="121"/>
      <c r="AB67" s="121"/>
      <c r="AC67" s="121"/>
    </row>
    <row r="68" spans="1:29">
      <c r="A68" s="48" t="s">
        <v>153</v>
      </c>
      <c r="B68" s="48" t="s">
        <v>43</v>
      </c>
      <c r="C68" s="47"/>
      <c r="D68" s="47"/>
      <c r="E68" s="47"/>
      <c r="F68" s="56">
        <f>SUMPRODUCT($C$69:$C$73,F69:F73)/1000</f>
        <v>11.979827999999998</v>
      </c>
      <c r="G68" s="56">
        <f t="shared" ref="G68:K68" si="55">SUMPRODUCT($C$69:$C$73,G69:G73)/1000</f>
        <v>2.3039999999999989</v>
      </c>
      <c r="H68" s="56">
        <f t="shared" si="55"/>
        <v>4.8552359999999988</v>
      </c>
      <c r="I68" s="270" t="s">
        <v>236</v>
      </c>
      <c r="J68" s="56">
        <f t="shared" si="55"/>
        <v>3.6032699999999993</v>
      </c>
      <c r="K68" s="56">
        <f t="shared" si="55"/>
        <v>3.6032699999999993</v>
      </c>
      <c r="L68" s="270" t="s">
        <v>236</v>
      </c>
      <c r="M68" s="270" t="s">
        <v>236</v>
      </c>
      <c r="N68" s="56">
        <f t="shared" ref="N68:O68" si="56">SUMPRODUCT($C$69:$C$73,N69:N73)/1000</f>
        <v>3.5929739999999999</v>
      </c>
      <c r="O68" s="56">
        <f t="shared" si="56"/>
        <v>3.5903999999999998</v>
      </c>
      <c r="P68" s="56">
        <f>O68+N68</f>
        <v>7.1833739999999997</v>
      </c>
      <c r="Q68" s="270" t="s">
        <v>236</v>
      </c>
      <c r="R68" s="56">
        <f t="shared" ref="R68" si="57">SUMPRODUCT($C$69:$C$73,R69:R73)/1000</f>
        <v>4.8283139999999989</v>
      </c>
      <c r="S68" s="270" t="s">
        <v>236</v>
      </c>
      <c r="T68" s="270" t="s">
        <v>236</v>
      </c>
      <c r="U68" s="56">
        <f>SUMPRODUCT($E$69:$E$73,U69:U73)/1000</f>
        <v>2.5736999999999997</v>
      </c>
      <c r="V68" s="56">
        <f t="shared" ref="V68:V81" si="58">V8</f>
        <v>4.1632499999999997</v>
      </c>
      <c r="W68" s="270" t="s">
        <v>236</v>
      </c>
      <c r="X68" s="56">
        <f t="shared" ref="X68:X80" si="59">X8</f>
        <v>9.4299919999999986</v>
      </c>
      <c r="Y68" s="56">
        <f>F68-N68</f>
        <v>8.3868539999999978</v>
      </c>
      <c r="Z68" s="189"/>
      <c r="AA68" s="121"/>
      <c r="AB68" s="121"/>
      <c r="AC68" s="121"/>
    </row>
    <row r="69" spans="1:29">
      <c r="A69" s="49" t="s">
        <v>308</v>
      </c>
      <c r="B69" s="49" t="s">
        <v>88</v>
      </c>
      <c r="C69" s="50">
        <f>C9-C24-C39-C54</f>
        <v>460.79999999999984</v>
      </c>
      <c r="D69" s="50">
        <f>1.2*QSTBKT!B68</f>
        <v>124.8</v>
      </c>
      <c r="E69" s="50">
        <f>1.2*QSTBKT!B70</f>
        <v>336</v>
      </c>
      <c r="F69" s="51">
        <f>F9</f>
        <v>19</v>
      </c>
      <c r="G69" s="51">
        <f>G9</f>
        <v>5</v>
      </c>
      <c r="H69" s="51">
        <f>H9</f>
        <v>9</v>
      </c>
      <c r="I69" s="270" t="s">
        <v>236</v>
      </c>
      <c r="J69" s="51">
        <f>J9</f>
        <v>3</v>
      </c>
      <c r="K69" s="271">
        <f>J69</f>
        <v>3</v>
      </c>
      <c r="L69" s="270" t="s">
        <v>236</v>
      </c>
      <c r="M69" s="270" t="s">
        <v>236</v>
      </c>
      <c r="N69" s="51">
        <f>N9</f>
        <v>3</v>
      </c>
      <c r="O69" s="51">
        <f t="shared" ref="O69:O81" si="60">O9</f>
        <v>3</v>
      </c>
      <c r="P69" s="51"/>
      <c r="Q69" s="270" t="s">
        <v>236</v>
      </c>
      <c r="R69" s="51">
        <f>R9</f>
        <v>5</v>
      </c>
      <c r="S69" s="270" t="s">
        <v>236</v>
      </c>
      <c r="T69" s="270" t="s">
        <v>236</v>
      </c>
      <c r="U69" s="51">
        <f>U9</f>
        <v>7</v>
      </c>
      <c r="V69" s="51">
        <f t="shared" si="58"/>
        <v>7</v>
      </c>
      <c r="W69" s="270" t="s">
        <v>236</v>
      </c>
      <c r="X69" s="56">
        <f t="shared" si="59"/>
        <v>7</v>
      </c>
      <c r="Y69" s="51"/>
      <c r="Z69" s="187"/>
      <c r="AA69" s="120"/>
      <c r="AB69" s="120"/>
      <c r="AC69" s="120"/>
    </row>
    <row r="70" spans="1:29">
      <c r="A70" s="53" t="s">
        <v>151</v>
      </c>
      <c r="B70" s="49" t="s">
        <v>88</v>
      </c>
      <c r="C70" s="50">
        <f t="shared" ref="C70:C80" si="61">C10-C25-C40-C55</f>
        <v>288</v>
      </c>
      <c r="D70" s="50">
        <f>0.75*QSTBKT!B68</f>
        <v>78</v>
      </c>
      <c r="E70" s="50">
        <f>0.75*QSTBKT!B70</f>
        <v>210</v>
      </c>
      <c r="F70" s="51">
        <f t="shared" ref="D70:H73" si="62">F10</f>
        <v>4</v>
      </c>
      <c r="G70" s="51">
        <f t="shared" si="62"/>
        <v>0</v>
      </c>
      <c r="H70" s="51">
        <f t="shared" si="62"/>
        <v>2</v>
      </c>
      <c r="I70" s="270" t="s">
        <v>236</v>
      </c>
      <c r="J70" s="51">
        <f>J10</f>
        <v>1</v>
      </c>
      <c r="K70" s="271">
        <f t="shared" ref="K70:K73" si="63">J70</f>
        <v>1</v>
      </c>
      <c r="L70" s="270" t="s">
        <v>236</v>
      </c>
      <c r="M70" s="270" t="s">
        <v>236</v>
      </c>
      <c r="N70" s="51">
        <f t="shared" ref="N70:N75" si="64">N10</f>
        <v>1</v>
      </c>
      <c r="O70" s="51">
        <f t="shared" si="60"/>
        <v>1</v>
      </c>
      <c r="P70" s="51"/>
      <c r="Q70" s="270" t="s">
        <v>236</v>
      </c>
      <c r="R70" s="51">
        <f>R10</f>
        <v>2</v>
      </c>
      <c r="S70" s="270" t="s">
        <v>236</v>
      </c>
      <c r="T70" s="270" t="s">
        <v>236</v>
      </c>
      <c r="U70" s="51">
        <f>U10</f>
        <v>1</v>
      </c>
      <c r="V70" s="51">
        <f t="shared" si="58"/>
        <v>1</v>
      </c>
      <c r="W70" s="270" t="s">
        <v>236</v>
      </c>
      <c r="X70" s="56">
        <f t="shared" si="59"/>
        <v>1</v>
      </c>
      <c r="Y70" s="51"/>
      <c r="Z70" s="187"/>
      <c r="AA70" s="120"/>
      <c r="AB70" s="120"/>
      <c r="AC70" s="120"/>
    </row>
    <row r="71" spans="1:29">
      <c r="A71" s="53" t="s">
        <v>80</v>
      </c>
      <c r="B71" s="50" t="s">
        <v>89</v>
      </c>
      <c r="C71" s="50">
        <f>C11</f>
        <v>2.5739999999999998</v>
      </c>
      <c r="D71" s="275">
        <f t="shared" si="62"/>
        <v>1.4039999999999999</v>
      </c>
      <c r="E71" s="275">
        <f t="shared" si="62"/>
        <v>1.17</v>
      </c>
      <c r="F71" s="51">
        <f t="shared" si="62"/>
        <v>22</v>
      </c>
      <c r="G71" s="51">
        <f t="shared" si="62"/>
        <v>0</v>
      </c>
      <c r="H71" s="51">
        <f t="shared" si="62"/>
        <v>14</v>
      </c>
      <c r="I71" s="270" t="s">
        <v>236</v>
      </c>
      <c r="J71" s="51">
        <f>J11</f>
        <v>5</v>
      </c>
      <c r="K71" s="271">
        <f t="shared" si="63"/>
        <v>5</v>
      </c>
      <c r="L71" s="270" t="s">
        <v>236</v>
      </c>
      <c r="M71" s="270" t="s">
        <v>236</v>
      </c>
      <c r="N71" s="51">
        <f t="shared" si="64"/>
        <v>1</v>
      </c>
      <c r="O71" s="51">
        <f t="shared" si="60"/>
        <v>0</v>
      </c>
      <c r="P71" s="51"/>
      <c r="Q71" s="270" t="s">
        <v>236</v>
      </c>
      <c r="R71" s="51">
        <f>R11</f>
        <v>11</v>
      </c>
      <c r="S71" s="270" t="s">
        <v>236</v>
      </c>
      <c r="T71" s="270" t="s">
        <v>236</v>
      </c>
      <c r="U71" s="51">
        <f>U11</f>
        <v>10</v>
      </c>
      <c r="V71" s="51" t="str">
        <f t="shared" si="58"/>
        <v>-</v>
      </c>
      <c r="W71" s="270" t="s">
        <v>236</v>
      </c>
      <c r="X71" s="56">
        <f t="shared" si="59"/>
        <v>8</v>
      </c>
      <c r="Y71" s="51"/>
      <c r="Z71" s="187"/>
      <c r="AA71" s="120"/>
      <c r="AB71" s="120"/>
      <c r="AC71" s="120"/>
    </row>
    <row r="72" spans="1:29">
      <c r="A72" s="53" t="s">
        <v>85</v>
      </c>
      <c r="B72" s="50" t="s">
        <v>89</v>
      </c>
      <c r="C72" s="50">
        <f t="shared" si="61"/>
        <v>7.68</v>
      </c>
      <c r="D72" s="50">
        <f>0.01*QSTBKT!B68*2</f>
        <v>2.08</v>
      </c>
      <c r="E72" s="50">
        <f>0.01*QSTBKT!B70*2</f>
        <v>5.6000000000000005</v>
      </c>
      <c r="F72" s="51">
        <f t="shared" si="62"/>
        <v>105</v>
      </c>
      <c r="G72" s="51">
        <f t="shared" si="62"/>
        <v>0</v>
      </c>
      <c r="H72" s="51">
        <f t="shared" si="62"/>
        <v>5</v>
      </c>
      <c r="I72" s="270" t="s">
        <v>236</v>
      </c>
      <c r="J72" s="51">
        <f>J12</f>
        <v>100</v>
      </c>
      <c r="K72" s="56">
        <f t="shared" si="63"/>
        <v>100</v>
      </c>
      <c r="L72" s="270" t="s">
        <v>236</v>
      </c>
      <c r="M72" s="270" t="s">
        <v>236</v>
      </c>
      <c r="N72" s="51">
        <f t="shared" si="64"/>
        <v>100</v>
      </c>
      <c r="O72" s="51">
        <f t="shared" si="60"/>
        <v>100</v>
      </c>
      <c r="P72" s="51"/>
      <c r="Q72" s="270" t="s">
        <v>236</v>
      </c>
      <c r="R72" s="51">
        <f>R12</f>
        <v>100</v>
      </c>
      <c r="S72" s="270" t="s">
        <v>236</v>
      </c>
      <c r="T72" s="270" t="s">
        <v>236</v>
      </c>
      <c r="U72" s="51">
        <f>U12</f>
        <v>0</v>
      </c>
      <c r="V72" s="51">
        <f t="shared" si="58"/>
        <v>0</v>
      </c>
      <c r="W72" s="270" t="s">
        <v>236</v>
      </c>
      <c r="X72" s="56">
        <f t="shared" si="59"/>
        <v>5</v>
      </c>
      <c r="Y72" s="51"/>
      <c r="Z72" s="187"/>
      <c r="AA72" s="120"/>
      <c r="AB72" s="120"/>
      <c r="AC72" s="120"/>
    </row>
    <row r="73" spans="1:29">
      <c r="A73" s="54" t="s">
        <v>82</v>
      </c>
      <c r="B73" s="50" t="s">
        <v>89</v>
      </c>
      <c r="C73" s="50">
        <f t="shared" si="61"/>
        <v>11.52</v>
      </c>
      <c r="D73" s="50">
        <f>0.01*QSTBKT!B68*3</f>
        <v>3.12</v>
      </c>
      <c r="E73" s="50">
        <f>0.01*QSTBKT!B70*3</f>
        <v>8.4</v>
      </c>
      <c r="F73" s="51">
        <f t="shared" si="62"/>
        <v>105</v>
      </c>
      <c r="G73" s="51">
        <f t="shared" si="62"/>
        <v>0</v>
      </c>
      <c r="H73" s="51">
        <f t="shared" si="62"/>
        <v>5</v>
      </c>
      <c r="I73" s="270" t="s">
        <v>236</v>
      </c>
      <c r="J73" s="51">
        <f>J13</f>
        <v>100</v>
      </c>
      <c r="K73" s="56">
        <f t="shared" si="63"/>
        <v>100</v>
      </c>
      <c r="L73" s="270" t="s">
        <v>236</v>
      </c>
      <c r="M73" s="270" t="s">
        <v>236</v>
      </c>
      <c r="N73" s="51">
        <f t="shared" si="64"/>
        <v>100</v>
      </c>
      <c r="O73" s="51">
        <f t="shared" si="60"/>
        <v>100</v>
      </c>
      <c r="P73" s="51"/>
      <c r="Q73" s="270" t="s">
        <v>236</v>
      </c>
      <c r="R73" s="51">
        <f>R13</f>
        <v>100</v>
      </c>
      <c r="S73" s="270" t="s">
        <v>236</v>
      </c>
      <c r="T73" s="270" t="s">
        <v>236</v>
      </c>
      <c r="U73" s="51">
        <f>U13</f>
        <v>0</v>
      </c>
      <c r="V73" s="51">
        <f t="shared" si="58"/>
        <v>0</v>
      </c>
      <c r="W73" s="270" t="s">
        <v>236</v>
      </c>
      <c r="X73" s="56">
        <f t="shared" si="59"/>
        <v>5</v>
      </c>
      <c r="Y73" s="51"/>
      <c r="Z73" s="187"/>
      <c r="AA73" s="120"/>
      <c r="AB73" s="120"/>
      <c r="AC73" s="120"/>
    </row>
    <row r="74" spans="1:29">
      <c r="A74" s="55" t="s">
        <v>154</v>
      </c>
      <c r="B74" s="48" t="s">
        <v>43</v>
      </c>
      <c r="C74" s="50"/>
      <c r="D74" s="47"/>
      <c r="E74" s="47"/>
      <c r="F74" s="56">
        <f>SUMPRODUCT($C$75:$C$78,F75:F78)/1000</f>
        <v>0.37863999999999998</v>
      </c>
      <c r="G74" s="56">
        <f>SUMPRODUCT($C$75:$C$78,G75:G78)/1000</f>
        <v>0</v>
      </c>
      <c r="H74" s="56">
        <f>SUMPRODUCT($C$75:$C$78,H75:H78)/1000</f>
        <v>0.26088</v>
      </c>
      <c r="I74" s="270" t="s">
        <v>236</v>
      </c>
      <c r="J74" s="56">
        <f>SUMPRODUCT($C$75:$C$78,J75:J78)/1000</f>
        <v>7.4880000000000016E-2</v>
      </c>
      <c r="K74" s="56">
        <f>SUMPRODUCT($C$75:$C$78,K75:K78)/1000</f>
        <v>7.4880000000000016E-2</v>
      </c>
      <c r="L74" s="270" t="s">
        <v>236</v>
      </c>
      <c r="M74" s="270" t="s">
        <v>236</v>
      </c>
      <c r="N74" s="56">
        <f>SUMPRODUCT($C$75:$C$78,N75:N78)/1000</f>
        <v>6.8880000000000011E-2</v>
      </c>
      <c r="O74" s="56">
        <f>SUMPRODUCT($C$75:$C$78,O75:O78)/1000</f>
        <v>2.6880000000000005E-2</v>
      </c>
      <c r="P74" s="56">
        <f>O74+N74</f>
        <v>9.5760000000000012E-2</v>
      </c>
      <c r="Q74" s="270" t="s">
        <v>236</v>
      </c>
      <c r="R74" s="56">
        <f>SUMPRODUCT($C$75:$C$78,R75:R78)/1000</f>
        <v>0.15487999999999999</v>
      </c>
      <c r="S74" s="270" t="s">
        <v>236</v>
      </c>
      <c r="T74" s="270" t="s">
        <v>236</v>
      </c>
      <c r="U74" s="56">
        <f>SUMPRODUCT($E$75:$E$78,U75:U78)/1000</f>
        <v>8.5999999999999993E-2</v>
      </c>
      <c r="V74" s="56">
        <f t="shared" si="58"/>
        <v>0</v>
      </c>
      <c r="W74" s="270" t="s">
        <v>236</v>
      </c>
      <c r="X74" s="56">
        <f t="shared" si="59"/>
        <v>0.22406999999999999</v>
      </c>
      <c r="Y74" s="56">
        <f>F74-N74</f>
        <v>0.30975999999999998</v>
      </c>
      <c r="Z74" s="188"/>
      <c r="AA74" s="122"/>
      <c r="AB74" s="122"/>
      <c r="AC74" s="122"/>
    </row>
    <row r="75" spans="1:29">
      <c r="A75" s="53" t="s">
        <v>155</v>
      </c>
      <c r="B75" s="53" t="s">
        <v>90</v>
      </c>
      <c r="C75" s="50">
        <v>6</v>
      </c>
      <c r="D75" s="50">
        <v>6</v>
      </c>
      <c r="E75" s="50">
        <v>6</v>
      </c>
      <c r="F75" s="51">
        <f>F15</f>
        <v>14</v>
      </c>
      <c r="G75" s="51">
        <f t="shared" ref="G75:H75" si="65">G15</f>
        <v>0</v>
      </c>
      <c r="H75" s="51">
        <f t="shared" si="65"/>
        <v>12</v>
      </c>
      <c r="I75" s="270" t="s">
        <v>236</v>
      </c>
      <c r="J75" s="51">
        <f>J15</f>
        <v>1</v>
      </c>
      <c r="K75" s="51">
        <f>J75</f>
        <v>1</v>
      </c>
      <c r="L75" s="270" t="s">
        <v>236</v>
      </c>
      <c r="M75" s="270" t="s">
        <v>236</v>
      </c>
      <c r="N75" s="51">
        <f t="shared" si="64"/>
        <v>1</v>
      </c>
      <c r="O75" s="269">
        <f t="shared" si="60"/>
        <v>0</v>
      </c>
      <c r="P75" s="51"/>
      <c r="Q75" s="270" t="s">
        <v>236</v>
      </c>
      <c r="R75" s="51">
        <f>R15</f>
        <v>3</v>
      </c>
      <c r="S75" s="270" t="s">
        <v>236</v>
      </c>
      <c r="T75" s="270" t="s">
        <v>236</v>
      </c>
      <c r="U75" s="51">
        <f>U15</f>
        <v>2</v>
      </c>
      <c r="V75" s="51" t="str">
        <f t="shared" si="58"/>
        <v>-</v>
      </c>
      <c r="W75" s="270" t="s">
        <v>236</v>
      </c>
      <c r="X75" s="56">
        <f t="shared" si="59"/>
        <v>10</v>
      </c>
      <c r="Y75" s="51"/>
      <c r="Z75" s="187"/>
      <c r="AA75" s="120"/>
      <c r="AB75" s="120"/>
      <c r="AC75" s="120"/>
    </row>
    <row r="76" spans="1:29">
      <c r="A76" s="53" t="s">
        <v>156</v>
      </c>
      <c r="B76" s="53" t="s">
        <v>90</v>
      </c>
      <c r="C76" s="50">
        <v>4</v>
      </c>
      <c r="D76" s="50">
        <v>4</v>
      </c>
      <c r="E76" s="50">
        <v>4</v>
      </c>
      <c r="F76" s="51">
        <f>F16-F31-F46-F61</f>
        <v>32</v>
      </c>
      <c r="G76" s="51">
        <f t="shared" ref="G76:H76" si="66">G16-G31-G46-G61</f>
        <v>0</v>
      </c>
      <c r="H76" s="51">
        <f t="shared" si="66"/>
        <v>24</v>
      </c>
      <c r="I76" s="270" t="s">
        <v>236</v>
      </c>
      <c r="J76" s="51">
        <f>J16-J31-J46-J61</f>
        <v>6</v>
      </c>
      <c r="K76" s="51">
        <f t="shared" ref="K76:K78" si="67">J76</f>
        <v>6</v>
      </c>
      <c r="L76" s="270" t="s">
        <v>236</v>
      </c>
      <c r="M76" s="270" t="s">
        <v>236</v>
      </c>
      <c r="N76" s="51">
        <f>N16-N31-N46-N61</f>
        <v>5</v>
      </c>
      <c r="O76" s="269">
        <f t="shared" si="60"/>
        <v>0</v>
      </c>
      <c r="P76" s="51"/>
      <c r="Q76" s="270" t="s">
        <v>236</v>
      </c>
      <c r="R76" s="51">
        <f>R16-R31-R46-R61</f>
        <v>16</v>
      </c>
      <c r="S76" s="270" t="s">
        <v>236</v>
      </c>
      <c r="T76" s="270" t="s">
        <v>236</v>
      </c>
      <c r="U76" s="51">
        <f>U16-U31-U46-U61</f>
        <v>11</v>
      </c>
      <c r="V76" s="51" t="str">
        <f t="shared" si="58"/>
        <v>-</v>
      </c>
      <c r="W76" s="270" t="s">
        <v>236</v>
      </c>
      <c r="X76" s="56">
        <f t="shared" si="59"/>
        <v>14</v>
      </c>
      <c r="Y76" s="51"/>
      <c r="Z76" s="187"/>
      <c r="AA76" s="120"/>
      <c r="AB76" s="120"/>
      <c r="AC76" s="120"/>
    </row>
    <row r="77" spans="1:29">
      <c r="A77" s="53" t="s">
        <v>157</v>
      </c>
      <c r="B77" s="53" t="s">
        <v>90</v>
      </c>
      <c r="C77" s="50">
        <v>2</v>
      </c>
      <c r="D77" s="50">
        <v>2</v>
      </c>
      <c r="E77" s="50">
        <v>2</v>
      </c>
      <c r="F77" s="51">
        <f>F17-F32-F47-F62</f>
        <v>43</v>
      </c>
      <c r="G77" s="51">
        <f t="shared" ref="G77:H77" si="68">G17-G32-G47-G62</f>
        <v>0</v>
      </c>
      <c r="H77" s="51">
        <f t="shared" si="68"/>
        <v>33</v>
      </c>
      <c r="I77" s="270" t="s">
        <v>236</v>
      </c>
      <c r="J77" s="51">
        <f>J17-J32-J47-J62</f>
        <v>9</v>
      </c>
      <c r="K77" s="51">
        <f t="shared" si="67"/>
        <v>9</v>
      </c>
      <c r="L77" s="270" t="s">
        <v>236</v>
      </c>
      <c r="M77" s="270" t="s">
        <v>236</v>
      </c>
      <c r="N77" s="51">
        <f>N17-N32-N47-N62</f>
        <v>8</v>
      </c>
      <c r="O77" s="269">
        <f t="shared" si="60"/>
        <v>0</v>
      </c>
      <c r="P77" s="51"/>
      <c r="Q77" s="270" t="s">
        <v>236</v>
      </c>
      <c r="R77" s="51">
        <f>R17-R32-R47-R62</f>
        <v>23</v>
      </c>
      <c r="S77" s="270" t="s">
        <v>236</v>
      </c>
      <c r="T77" s="270" t="s">
        <v>236</v>
      </c>
      <c r="U77" s="51">
        <f>U17-U32-U47-U62</f>
        <v>15</v>
      </c>
      <c r="V77" s="51" t="str">
        <f t="shared" si="58"/>
        <v>-</v>
      </c>
      <c r="W77" s="270" t="s">
        <v>236</v>
      </c>
      <c r="X77" s="56">
        <f t="shared" si="59"/>
        <v>19</v>
      </c>
      <c r="Y77" s="51"/>
      <c r="Z77" s="187"/>
      <c r="AA77" s="120"/>
      <c r="AB77" s="120"/>
      <c r="AC77" s="120"/>
    </row>
    <row r="78" spans="1:29">
      <c r="A78" s="53" t="s">
        <v>83</v>
      </c>
      <c r="B78" s="53" t="s">
        <v>91</v>
      </c>
      <c r="C78" s="50">
        <f t="shared" si="61"/>
        <v>26.880000000000006</v>
      </c>
      <c r="D78" s="50">
        <f>0.07*QSTBKT!B68</f>
        <v>7.2800000000000011</v>
      </c>
      <c r="E78" s="50">
        <f>0.07*QSTBKT!B70</f>
        <v>19.600000000000001</v>
      </c>
      <c r="F78" s="51">
        <f>F18</f>
        <v>3</v>
      </c>
      <c r="G78" s="51">
        <f>G18</f>
        <v>0</v>
      </c>
      <c r="H78" s="51">
        <f>H18</f>
        <v>1</v>
      </c>
      <c r="I78" s="270" t="s">
        <v>236</v>
      </c>
      <c r="J78" s="51">
        <f>J18</f>
        <v>1</v>
      </c>
      <c r="K78" s="51">
        <f t="shared" si="67"/>
        <v>1</v>
      </c>
      <c r="L78" s="270" t="s">
        <v>236</v>
      </c>
      <c r="M78" s="270" t="s">
        <v>236</v>
      </c>
      <c r="N78" s="51">
        <f t="shared" ref="N78" si="69">N18</f>
        <v>1</v>
      </c>
      <c r="O78" s="269">
        <f t="shared" si="60"/>
        <v>1</v>
      </c>
      <c r="P78" s="51"/>
      <c r="Q78" s="270" t="s">
        <v>236</v>
      </c>
      <c r="R78" s="51">
        <f>R18</f>
        <v>1</v>
      </c>
      <c r="S78" s="270" t="s">
        <v>236</v>
      </c>
      <c r="T78" s="270" t="s">
        <v>236</v>
      </c>
      <c r="U78" s="51">
        <f>U18</f>
        <v>0</v>
      </c>
      <c r="V78" s="51">
        <f t="shared" si="58"/>
        <v>0</v>
      </c>
      <c r="W78" s="270" t="s">
        <v>236</v>
      </c>
      <c r="X78" s="56">
        <f t="shared" si="59"/>
        <v>1</v>
      </c>
      <c r="Y78" s="51"/>
      <c r="Z78" s="187"/>
      <c r="AA78" s="120"/>
      <c r="AB78" s="120"/>
      <c r="AC78" s="120"/>
    </row>
    <row r="79" spans="1:29">
      <c r="A79" s="55" t="s">
        <v>158</v>
      </c>
      <c r="B79" s="48" t="s">
        <v>43</v>
      </c>
      <c r="C79" s="50"/>
      <c r="D79" s="47"/>
      <c r="E79" s="47"/>
      <c r="F79" s="80">
        <f>F80*$C$80/1000</f>
        <v>0.12160000000000004</v>
      </c>
      <c r="G79" s="80">
        <f>G80*$C$80/1000</f>
        <v>3.2000000000000015E-2</v>
      </c>
      <c r="H79" s="80">
        <f>H80*$C$80/1000</f>
        <v>5.7600000000000026E-2</v>
      </c>
      <c r="I79" s="270" t="s">
        <v>236</v>
      </c>
      <c r="J79" s="80">
        <f>J80*$C$80/1000</f>
        <v>1.9200000000000005E-2</v>
      </c>
      <c r="K79" s="80">
        <f>K80*$C$80/1000</f>
        <v>1.9200000000000005E-2</v>
      </c>
      <c r="L79" s="270" t="s">
        <v>236</v>
      </c>
      <c r="M79" s="270" t="s">
        <v>236</v>
      </c>
      <c r="N79" s="80">
        <f>N80*$C$80/1000</f>
        <v>1.9200000000000005E-2</v>
      </c>
      <c r="O79" s="80">
        <f>O80*$C$80/1000</f>
        <v>1.9200000000000005E-2</v>
      </c>
      <c r="P79" s="56">
        <f>O79+N79</f>
        <v>3.8400000000000011E-2</v>
      </c>
      <c r="Q79" s="270" t="s">
        <v>236</v>
      </c>
      <c r="R79" s="80">
        <f>R80*$C$80/1000</f>
        <v>3.2000000000000015E-2</v>
      </c>
      <c r="S79" s="270" t="s">
        <v>236</v>
      </c>
      <c r="T79" s="270" t="s">
        <v>236</v>
      </c>
      <c r="U79" s="80">
        <f>U80*$E$80/1000</f>
        <v>3.266666666666667E-2</v>
      </c>
      <c r="V79" s="56">
        <f t="shared" si="58"/>
        <v>5.308333333333333E-2</v>
      </c>
      <c r="W79" s="270" t="s">
        <v>236</v>
      </c>
      <c r="X79" s="56">
        <f t="shared" si="59"/>
        <v>0.11678333333333334</v>
      </c>
      <c r="Y79" s="56">
        <f>F79-N79</f>
        <v>0.10240000000000003</v>
      </c>
      <c r="Z79" s="188"/>
      <c r="AA79" s="122"/>
      <c r="AB79" s="122"/>
      <c r="AC79" s="122"/>
    </row>
    <row r="80" spans="1:29">
      <c r="A80" s="53" t="s">
        <v>84</v>
      </c>
      <c r="B80" s="53" t="s">
        <v>160</v>
      </c>
      <c r="C80" s="269">
        <f t="shared" si="61"/>
        <v>6.4000000000000021</v>
      </c>
      <c r="D80" s="52">
        <f>0.5*QSTBKT!B68/30</f>
        <v>1.7333333333333334</v>
      </c>
      <c r="E80" s="52">
        <f>0.5*QSTBKT!B70/30</f>
        <v>4.666666666666667</v>
      </c>
      <c r="F80" s="51">
        <f>F20</f>
        <v>19</v>
      </c>
      <c r="G80" s="51">
        <f>G20</f>
        <v>5</v>
      </c>
      <c r="H80" s="51">
        <f>H20</f>
        <v>9</v>
      </c>
      <c r="I80" s="270" t="s">
        <v>236</v>
      </c>
      <c r="J80" s="51">
        <f>J20</f>
        <v>3</v>
      </c>
      <c r="K80" s="51">
        <f>J80</f>
        <v>3</v>
      </c>
      <c r="L80" s="270" t="s">
        <v>236</v>
      </c>
      <c r="M80" s="270" t="s">
        <v>236</v>
      </c>
      <c r="N80" s="51">
        <f>N20</f>
        <v>3</v>
      </c>
      <c r="O80" s="51">
        <f t="shared" si="60"/>
        <v>3</v>
      </c>
      <c r="P80" s="51"/>
      <c r="Q80" s="270" t="s">
        <v>236</v>
      </c>
      <c r="R80" s="51">
        <f>R20</f>
        <v>5</v>
      </c>
      <c r="S80" s="270" t="s">
        <v>236</v>
      </c>
      <c r="T80" s="270" t="s">
        <v>236</v>
      </c>
      <c r="U80" s="51">
        <f>U20</f>
        <v>7</v>
      </c>
      <c r="V80" s="51">
        <f t="shared" si="58"/>
        <v>7</v>
      </c>
      <c r="W80" s="270" t="s">
        <v>236</v>
      </c>
      <c r="X80" s="56">
        <f t="shared" si="59"/>
        <v>7</v>
      </c>
      <c r="Y80" s="51"/>
      <c r="Z80" s="187"/>
      <c r="AA80" s="120"/>
      <c r="AB80" s="120"/>
      <c r="AC80" s="120"/>
    </row>
    <row r="81" spans="1:29">
      <c r="A81" s="55" t="s">
        <v>159</v>
      </c>
      <c r="B81" s="48" t="s">
        <v>43</v>
      </c>
      <c r="C81" s="52"/>
      <c r="D81" s="52"/>
      <c r="E81" s="50"/>
      <c r="F81" s="271">
        <f>F21-F36-F51-F66</f>
        <v>1.1000000000000001</v>
      </c>
      <c r="G81" s="271">
        <f t="shared" ref="G81:J81" si="70">G21-G36-G51-G66</f>
        <v>0.1</v>
      </c>
      <c r="H81" s="271">
        <f t="shared" si="70"/>
        <v>0.5</v>
      </c>
      <c r="I81" s="270" t="s">
        <v>236</v>
      </c>
      <c r="J81" s="271">
        <f t="shared" si="70"/>
        <v>0.3</v>
      </c>
      <c r="K81" s="271">
        <f>J81</f>
        <v>0.3</v>
      </c>
      <c r="L81" s="270" t="s">
        <v>236</v>
      </c>
      <c r="M81" s="270" t="s">
        <v>236</v>
      </c>
      <c r="N81" s="271">
        <f t="shared" ref="N81" si="71">N21-N36-N51-N66</f>
        <v>0.1</v>
      </c>
      <c r="O81" s="271">
        <f t="shared" si="60"/>
        <v>0</v>
      </c>
      <c r="P81" s="56">
        <f>O81+N81</f>
        <v>0.1</v>
      </c>
      <c r="Q81" s="270" t="s">
        <v>236</v>
      </c>
      <c r="R81" s="271">
        <f t="shared" ref="R81" si="72">R21-R36-R51-R66</f>
        <v>0.2</v>
      </c>
      <c r="S81" s="270" t="s">
        <v>236</v>
      </c>
      <c r="T81" s="270" t="s">
        <v>236</v>
      </c>
      <c r="U81" s="271">
        <f t="shared" ref="U81" si="73">G81+R81-N81</f>
        <v>0.20000000000000004</v>
      </c>
      <c r="V81" s="56" t="str">
        <f t="shared" si="58"/>
        <v>-</v>
      </c>
      <c r="W81" s="270" t="s">
        <v>236</v>
      </c>
      <c r="X81" s="56">
        <f t="shared" ref="X81" si="74">H81+J81-R81</f>
        <v>0.60000000000000009</v>
      </c>
      <c r="Y81" s="56">
        <f>F81-P81</f>
        <v>1</v>
      </c>
      <c r="Z81" s="187"/>
      <c r="AA81" s="120"/>
      <c r="AB81" s="120"/>
      <c r="AC81" s="120"/>
    </row>
    <row r="82" spans="1:29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</row>
    <row r="83" spans="1:29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</row>
    <row r="84" spans="1:29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</row>
    <row r="85" spans="1:29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</row>
    <row r="86" spans="1:29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</row>
    <row r="87" spans="1:29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</row>
    <row r="88" spans="1:29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</row>
    <row r="89" spans="1:2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</row>
  </sheetData>
  <mergeCells count="34">
    <mergeCell ref="AC4:AC5"/>
    <mergeCell ref="Z3:AC3"/>
    <mergeCell ref="L5:L6"/>
    <mergeCell ref="M5:M6"/>
    <mergeCell ref="N5:N6"/>
    <mergeCell ref="O5:O6"/>
    <mergeCell ref="P4:P6"/>
    <mergeCell ref="Y4:Y6"/>
    <mergeCell ref="W4:X4"/>
    <mergeCell ref="Q3:R5"/>
    <mergeCell ref="A1:AC1"/>
    <mergeCell ref="L4:M4"/>
    <mergeCell ref="N4:O4"/>
    <mergeCell ref="L3:P3"/>
    <mergeCell ref="S5:T5"/>
    <mergeCell ref="U5:V5"/>
    <mergeCell ref="S3:Y3"/>
    <mergeCell ref="S4:V4"/>
    <mergeCell ref="A3:A6"/>
    <mergeCell ref="W5:W6"/>
    <mergeCell ref="X5:X6"/>
    <mergeCell ref="Z4:Z5"/>
    <mergeCell ref="B3:B6"/>
    <mergeCell ref="C3:C6"/>
    <mergeCell ref="AA4:AA5"/>
    <mergeCell ref="AB4:AB5"/>
    <mergeCell ref="D3:D6"/>
    <mergeCell ref="E3:E6"/>
    <mergeCell ref="F4:F6"/>
    <mergeCell ref="F3:K3"/>
    <mergeCell ref="G5:G6"/>
    <mergeCell ref="H5:H6"/>
    <mergeCell ref="G4:H4"/>
    <mergeCell ref="I4:K5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49756-4F9A-41FB-9A56-E509FC615657}">
  <sheetPr>
    <tabColor theme="9"/>
  </sheetPr>
  <dimension ref="A1:P12"/>
  <sheetViews>
    <sheetView zoomScale="85" zoomScaleNormal="85" workbookViewId="0">
      <selection activeCell="K46" sqref="K46"/>
    </sheetView>
  </sheetViews>
  <sheetFormatPr defaultRowHeight="15"/>
  <cols>
    <col min="1" max="1" width="3.42578125" bestFit="1" customWidth="1"/>
    <col min="2" max="2" width="14" bestFit="1" customWidth="1"/>
    <col min="3" max="3" width="26.7109375" bestFit="1" customWidth="1"/>
    <col min="4" max="4" width="32.5703125" bestFit="1" customWidth="1"/>
    <col min="5" max="5" width="4.140625" bestFit="1" customWidth="1"/>
    <col min="6" max="6" width="4" bestFit="1" customWidth="1"/>
    <col min="7" max="7" width="4.85546875" bestFit="1" customWidth="1"/>
    <col min="8" max="8" width="4.140625" bestFit="1" customWidth="1"/>
    <col min="9" max="9" width="3.7109375" bestFit="1" customWidth="1"/>
    <col min="10" max="10" width="4.28515625" bestFit="1" customWidth="1"/>
    <col min="11" max="11" width="4" bestFit="1" customWidth="1"/>
    <col min="12" max="12" width="5" customWidth="1"/>
    <col min="13" max="13" width="4.28515625" bestFit="1" customWidth="1"/>
    <col min="14" max="15" width="4" bestFit="1" customWidth="1"/>
    <col min="16" max="16" width="4.140625" bestFit="1" customWidth="1"/>
  </cols>
  <sheetData>
    <row r="1" spans="1:16" ht="42" customHeight="1">
      <c r="A1" s="386" t="s">
        <v>114</v>
      </c>
      <c r="B1" s="386" t="s">
        <v>164</v>
      </c>
      <c r="C1" s="386" t="s">
        <v>165</v>
      </c>
      <c r="D1" s="386" t="s">
        <v>166</v>
      </c>
      <c r="E1" s="383" t="s">
        <v>167</v>
      </c>
      <c r="F1" s="384"/>
      <c r="G1" s="384"/>
      <c r="H1" s="384"/>
      <c r="I1" s="385"/>
      <c r="J1" s="383" t="s">
        <v>168</v>
      </c>
      <c r="K1" s="384"/>
      <c r="L1" s="385"/>
      <c r="M1" s="383" t="s">
        <v>178</v>
      </c>
      <c r="N1" s="384"/>
      <c r="O1" s="384"/>
      <c r="P1" s="385"/>
    </row>
    <row r="2" spans="1:16" ht="25.5">
      <c r="A2" s="387"/>
      <c r="B2" s="387"/>
      <c r="C2" s="387"/>
      <c r="D2" s="387"/>
      <c r="E2" s="85" t="s">
        <v>104</v>
      </c>
      <c r="F2" s="85" t="s">
        <v>105</v>
      </c>
      <c r="G2" s="85" t="s">
        <v>106</v>
      </c>
      <c r="H2" s="85" t="s">
        <v>169</v>
      </c>
      <c r="I2" s="85" t="s">
        <v>41</v>
      </c>
      <c r="J2" s="85" t="s">
        <v>107</v>
      </c>
      <c r="K2" s="85" t="s">
        <v>105</v>
      </c>
      <c r="L2" s="85" t="s">
        <v>41</v>
      </c>
      <c r="M2" s="85" t="s">
        <v>107</v>
      </c>
      <c r="N2" s="85" t="s">
        <v>105</v>
      </c>
      <c r="O2" s="85" t="s">
        <v>170</v>
      </c>
      <c r="P2" s="85" t="s">
        <v>169</v>
      </c>
    </row>
    <row r="3" spans="1:16" ht="18.75">
      <c r="A3" s="282">
        <v>1</v>
      </c>
      <c r="B3" s="283" t="s">
        <v>108</v>
      </c>
      <c r="C3" s="284">
        <f>QSTBKT!M19</f>
        <v>9</v>
      </c>
      <c r="D3" s="8">
        <v>8</v>
      </c>
      <c r="E3" s="284">
        <f t="shared" ref="E3:E12" si="0">ROUND(I3*0.5,0)</f>
        <v>1</v>
      </c>
      <c r="F3" s="284">
        <f t="shared" ref="F3:F12" si="1">ROUND(I3*0.25,0)</f>
        <v>0</v>
      </c>
      <c r="G3" s="284">
        <f t="shared" ref="G3:G12" si="2">ROUND(I3*0.15,0)</f>
        <v>0</v>
      </c>
      <c r="H3" s="284">
        <f t="shared" ref="H3:H12" si="3">I3-E3-F3-G3</f>
        <v>0</v>
      </c>
      <c r="I3" s="284">
        <f t="shared" ref="I3:I12" si="4">ROUND(C3*D3/100,0)</f>
        <v>1</v>
      </c>
      <c r="J3" s="286"/>
      <c r="K3" s="286"/>
      <c r="L3" s="285">
        <f>J3+K3</f>
        <v>0</v>
      </c>
      <c r="M3" s="285">
        <f>E3-J3</f>
        <v>1</v>
      </c>
      <c r="N3" s="285">
        <f t="shared" ref="N3:N12" si="5">F3</f>
        <v>0</v>
      </c>
      <c r="O3" s="285">
        <f t="shared" ref="O3:O12" si="6">G3</f>
        <v>0</v>
      </c>
      <c r="P3" s="285">
        <f t="shared" ref="P3:P12" si="7">H3</f>
        <v>0</v>
      </c>
    </row>
    <row r="4" spans="1:16" ht="18.75">
      <c r="A4" s="282">
        <v>2</v>
      </c>
      <c r="B4" s="283" t="s">
        <v>171</v>
      </c>
      <c r="C4" s="284">
        <f>QSTBKT!L19</f>
        <v>9</v>
      </c>
      <c r="D4" s="8">
        <v>10</v>
      </c>
      <c r="E4" s="284">
        <f t="shared" si="0"/>
        <v>1</v>
      </c>
      <c r="F4" s="284">
        <f t="shared" si="1"/>
        <v>0</v>
      </c>
      <c r="G4" s="284">
        <f t="shared" si="2"/>
        <v>0</v>
      </c>
      <c r="H4" s="284">
        <f t="shared" si="3"/>
        <v>0</v>
      </c>
      <c r="I4" s="284">
        <f t="shared" si="4"/>
        <v>1</v>
      </c>
      <c r="J4" s="287"/>
      <c r="K4" s="287"/>
      <c r="L4" s="285">
        <f t="shared" ref="L4:L12" si="8">J4+K4</f>
        <v>0</v>
      </c>
      <c r="M4" s="285">
        <f t="shared" ref="M4:M12" si="9">E4-J4</f>
        <v>1</v>
      </c>
      <c r="N4" s="285">
        <f t="shared" si="5"/>
        <v>0</v>
      </c>
      <c r="O4" s="285">
        <f t="shared" si="6"/>
        <v>0</v>
      </c>
      <c r="P4" s="285">
        <f t="shared" si="7"/>
        <v>0</v>
      </c>
    </row>
    <row r="5" spans="1:16" ht="18.75">
      <c r="A5" s="282">
        <v>3</v>
      </c>
      <c r="B5" s="283" t="s">
        <v>134</v>
      </c>
      <c r="C5" s="284">
        <f>QSTBKT!C19</f>
        <v>42</v>
      </c>
      <c r="D5" s="8">
        <v>4</v>
      </c>
      <c r="E5" s="284">
        <f t="shared" si="0"/>
        <v>1</v>
      </c>
      <c r="F5" s="284">
        <f t="shared" si="1"/>
        <v>1</v>
      </c>
      <c r="G5" s="284">
        <f t="shared" si="2"/>
        <v>0</v>
      </c>
      <c r="H5" s="284">
        <f t="shared" si="3"/>
        <v>0</v>
      </c>
      <c r="I5" s="284">
        <f t="shared" si="4"/>
        <v>2</v>
      </c>
      <c r="J5" s="286"/>
      <c r="K5" s="286"/>
      <c r="L5" s="285">
        <f t="shared" si="8"/>
        <v>0</v>
      </c>
      <c r="M5" s="285">
        <f t="shared" si="9"/>
        <v>1</v>
      </c>
      <c r="N5" s="285">
        <f t="shared" si="5"/>
        <v>1</v>
      </c>
      <c r="O5" s="285">
        <f t="shared" si="6"/>
        <v>0</v>
      </c>
      <c r="P5" s="285">
        <f t="shared" si="7"/>
        <v>0</v>
      </c>
    </row>
    <row r="6" spans="1:16" ht="18.75">
      <c r="A6" s="282">
        <v>4</v>
      </c>
      <c r="B6" s="283" t="s">
        <v>172</v>
      </c>
      <c r="C6" s="284">
        <f>QSTBKT!D19</f>
        <v>486</v>
      </c>
      <c r="D6" s="8">
        <v>4</v>
      </c>
      <c r="E6" s="284">
        <f t="shared" si="0"/>
        <v>10</v>
      </c>
      <c r="F6" s="284">
        <f t="shared" si="1"/>
        <v>5</v>
      </c>
      <c r="G6" s="284">
        <f t="shared" si="2"/>
        <v>3</v>
      </c>
      <c r="H6" s="284">
        <f t="shared" si="3"/>
        <v>1</v>
      </c>
      <c r="I6" s="284">
        <f t="shared" si="4"/>
        <v>19</v>
      </c>
      <c r="J6" s="286"/>
      <c r="K6" s="286"/>
      <c r="L6" s="285">
        <f t="shared" si="8"/>
        <v>0</v>
      </c>
      <c r="M6" s="285">
        <f t="shared" si="9"/>
        <v>10</v>
      </c>
      <c r="N6" s="285">
        <f t="shared" si="5"/>
        <v>5</v>
      </c>
      <c r="O6" s="285">
        <f t="shared" si="6"/>
        <v>3</v>
      </c>
      <c r="P6" s="285">
        <f t="shared" si="7"/>
        <v>1</v>
      </c>
    </row>
    <row r="7" spans="1:16" ht="18.75">
      <c r="A7" s="282">
        <v>5</v>
      </c>
      <c r="B7" s="283" t="s">
        <v>173</v>
      </c>
      <c r="C7" s="284">
        <f>QSTBKT!E19</f>
        <v>36</v>
      </c>
      <c r="D7" s="8">
        <v>4</v>
      </c>
      <c r="E7" s="284">
        <f t="shared" si="0"/>
        <v>1</v>
      </c>
      <c r="F7" s="284">
        <f t="shared" si="1"/>
        <v>0</v>
      </c>
      <c r="G7" s="284">
        <f t="shared" si="2"/>
        <v>0</v>
      </c>
      <c r="H7" s="284">
        <f t="shared" si="3"/>
        <v>0</v>
      </c>
      <c r="I7" s="284">
        <f t="shared" si="4"/>
        <v>1</v>
      </c>
      <c r="J7" s="286"/>
      <c r="K7" s="286"/>
      <c r="L7" s="285">
        <f t="shared" si="8"/>
        <v>0</v>
      </c>
      <c r="M7" s="285">
        <f t="shared" si="9"/>
        <v>1</v>
      </c>
      <c r="N7" s="285">
        <f t="shared" si="5"/>
        <v>0</v>
      </c>
      <c r="O7" s="285">
        <f t="shared" si="6"/>
        <v>0</v>
      </c>
      <c r="P7" s="285">
        <f t="shared" si="7"/>
        <v>0</v>
      </c>
    </row>
    <row r="8" spans="1:16" ht="18.75">
      <c r="A8" s="282">
        <v>6</v>
      </c>
      <c r="B8" s="283" t="s">
        <v>174</v>
      </c>
      <c r="C8" s="284">
        <f>QSTBKT!F19</f>
        <v>8</v>
      </c>
      <c r="D8" s="8">
        <v>4</v>
      </c>
      <c r="E8" s="284">
        <f t="shared" si="0"/>
        <v>0</v>
      </c>
      <c r="F8" s="284">
        <f t="shared" si="1"/>
        <v>0</v>
      </c>
      <c r="G8" s="284">
        <f t="shared" si="2"/>
        <v>0</v>
      </c>
      <c r="H8" s="284">
        <f t="shared" si="3"/>
        <v>0</v>
      </c>
      <c r="I8" s="284">
        <f t="shared" si="4"/>
        <v>0</v>
      </c>
      <c r="J8" s="286"/>
      <c r="K8" s="286"/>
      <c r="L8" s="285">
        <f t="shared" si="8"/>
        <v>0</v>
      </c>
      <c r="M8" s="285">
        <f t="shared" si="9"/>
        <v>0</v>
      </c>
      <c r="N8" s="285">
        <f t="shared" si="5"/>
        <v>0</v>
      </c>
      <c r="O8" s="285">
        <f t="shared" si="6"/>
        <v>0</v>
      </c>
      <c r="P8" s="285">
        <f t="shared" si="7"/>
        <v>0</v>
      </c>
    </row>
    <row r="9" spans="1:16" ht="18.75">
      <c r="A9" s="282">
        <v>7</v>
      </c>
      <c r="B9" s="283" t="s">
        <v>77</v>
      </c>
      <c r="C9" s="284">
        <f>QSTBKT!G19</f>
        <v>72</v>
      </c>
      <c r="D9" s="8">
        <v>4</v>
      </c>
      <c r="E9" s="284">
        <f t="shared" si="0"/>
        <v>2</v>
      </c>
      <c r="F9" s="284">
        <f t="shared" si="1"/>
        <v>1</v>
      </c>
      <c r="G9" s="284">
        <f t="shared" si="2"/>
        <v>0</v>
      </c>
      <c r="H9" s="284">
        <f t="shared" si="3"/>
        <v>0</v>
      </c>
      <c r="I9" s="284">
        <f t="shared" si="4"/>
        <v>3</v>
      </c>
      <c r="J9" s="287"/>
      <c r="K9" s="287"/>
      <c r="L9" s="285">
        <f t="shared" si="8"/>
        <v>0</v>
      </c>
      <c r="M9" s="285">
        <f t="shared" si="9"/>
        <v>2</v>
      </c>
      <c r="N9" s="285">
        <f t="shared" si="5"/>
        <v>1</v>
      </c>
      <c r="O9" s="285">
        <f t="shared" si="6"/>
        <v>0</v>
      </c>
      <c r="P9" s="285">
        <f t="shared" si="7"/>
        <v>0</v>
      </c>
    </row>
    <row r="10" spans="1:16" ht="18.75">
      <c r="A10" s="282">
        <v>8</v>
      </c>
      <c r="B10" s="283" t="s">
        <v>175</v>
      </c>
      <c r="C10" s="284">
        <f>QSTBKT!K19</f>
        <v>4</v>
      </c>
      <c r="D10" s="8">
        <v>10</v>
      </c>
      <c r="E10" s="284">
        <f t="shared" si="0"/>
        <v>0</v>
      </c>
      <c r="F10" s="284">
        <f t="shared" si="1"/>
        <v>0</v>
      </c>
      <c r="G10" s="284">
        <f t="shared" si="2"/>
        <v>0</v>
      </c>
      <c r="H10" s="284">
        <f t="shared" si="3"/>
        <v>0</v>
      </c>
      <c r="I10" s="284">
        <f t="shared" si="4"/>
        <v>0</v>
      </c>
      <c r="J10" s="286"/>
      <c r="K10" s="286"/>
      <c r="L10" s="285">
        <f t="shared" si="8"/>
        <v>0</v>
      </c>
      <c r="M10" s="285">
        <f t="shared" si="9"/>
        <v>0</v>
      </c>
      <c r="N10" s="285">
        <f t="shared" si="5"/>
        <v>0</v>
      </c>
      <c r="O10" s="285">
        <f t="shared" si="6"/>
        <v>0</v>
      </c>
      <c r="P10" s="285">
        <f t="shared" si="7"/>
        <v>0</v>
      </c>
    </row>
    <row r="11" spans="1:16" ht="18.75">
      <c r="A11" s="282">
        <v>9</v>
      </c>
      <c r="B11" s="283" t="s">
        <v>176</v>
      </c>
      <c r="C11" s="284">
        <f>QSTBKT!J19</f>
        <v>4</v>
      </c>
      <c r="D11" s="8">
        <v>10</v>
      </c>
      <c r="E11" s="284">
        <f t="shared" si="0"/>
        <v>0</v>
      </c>
      <c r="F11" s="284">
        <f t="shared" si="1"/>
        <v>0</v>
      </c>
      <c r="G11" s="284">
        <f t="shared" si="2"/>
        <v>0</v>
      </c>
      <c r="H11" s="284">
        <f t="shared" si="3"/>
        <v>0</v>
      </c>
      <c r="I11" s="284">
        <f t="shared" si="4"/>
        <v>0</v>
      </c>
      <c r="J11" s="286"/>
      <c r="K11" s="286"/>
      <c r="L11" s="285">
        <f t="shared" si="8"/>
        <v>0</v>
      </c>
      <c r="M11" s="285">
        <f t="shared" si="9"/>
        <v>0</v>
      </c>
      <c r="N11" s="285">
        <f t="shared" si="5"/>
        <v>0</v>
      </c>
      <c r="O11" s="285">
        <f t="shared" si="6"/>
        <v>0</v>
      </c>
      <c r="P11" s="285">
        <f t="shared" si="7"/>
        <v>0</v>
      </c>
    </row>
    <row r="12" spans="1:16" ht="18.75">
      <c r="A12" s="282">
        <v>10</v>
      </c>
      <c r="B12" s="283" t="s">
        <v>177</v>
      </c>
      <c r="C12" s="284">
        <f>QSTBKT!I19</f>
        <v>8</v>
      </c>
      <c r="D12" s="8">
        <v>10</v>
      </c>
      <c r="E12" s="284">
        <f t="shared" si="0"/>
        <v>1</v>
      </c>
      <c r="F12" s="284">
        <f t="shared" si="1"/>
        <v>0</v>
      </c>
      <c r="G12" s="284">
        <f t="shared" si="2"/>
        <v>0</v>
      </c>
      <c r="H12" s="284">
        <f t="shared" si="3"/>
        <v>0</v>
      </c>
      <c r="I12" s="284">
        <f t="shared" si="4"/>
        <v>1</v>
      </c>
      <c r="J12" s="286"/>
      <c r="K12" s="286"/>
      <c r="L12" s="285">
        <f t="shared" si="8"/>
        <v>0</v>
      </c>
      <c r="M12" s="285">
        <f t="shared" si="9"/>
        <v>1</v>
      </c>
      <c r="N12" s="285">
        <f t="shared" si="5"/>
        <v>0</v>
      </c>
      <c r="O12" s="285">
        <f t="shared" si="6"/>
        <v>0</v>
      </c>
      <c r="P12" s="285">
        <f t="shared" si="7"/>
        <v>0</v>
      </c>
    </row>
  </sheetData>
  <mergeCells count="7">
    <mergeCell ref="J1:L1"/>
    <mergeCell ref="M1:P1"/>
    <mergeCell ref="A1:A2"/>
    <mergeCell ref="B1:B2"/>
    <mergeCell ref="C1:C2"/>
    <mergeCell ref="D1:D2"/>
    <mergeCell ref="E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49F2-044B-41A8-8966-C9258BF6E350}">
  <sheetPr codeName="Sheet10">
    <tabColor theme="9"/>
  </sheetPr>
  <dimension ref="A1:M14"/>
  <sheetViews>
    <sheetView zoomScale="115" zoomScaleNormal="115" workbookViewId="0">
      <selection activeCell="O18" sqref="O18"/>
    </sheetView>
  </sheetViews>
  <sheetFormatPr defaultRowHeight="15"/>
  <cols>
    <col min="1" max="1" width="12" bestFit="1" customWidth="1"/>
    <col min="12" max="12" width="7.7109375" customWidth="1"/>
  </cols>
  <sheetData>
    <row r="1" spans="1:13">
      <c r="A1" t="s">
        <v>262</v>
      </c>
    </row>
    <row r="2" spans="1:13">
      <c r="A2" s="388" t="s">
        <v>92</v>
      </c>
      <c r="B2" s="391" t="s">
        <v>179</v>
      </c>
      <c r="C2" s="392"/>
      <c r="D2" s="392"/>
      <c r="E2" s="392"/>
      <c r="F2" s="392"/>
      <c r="G2" s="392"/>
      <c r="H2" s="392"/>
      <c r="I2" s="392"/>
      <c r="J2" s="392"/>
      <c r="K2" s="392"/>
      <c r="L2" s="393"/>
      <c r="M2" s="388" t="s">
        <v>180</v>
      </c>
    </row>
    <row r="3" spans="1:13">
      <c r="A3" s="389"/>
      <c r="B3" s="391" t="s">
        <v>343</v>
      </c>
      <c r="C3" s="392"/>
      <c r="D3" s="392"/>
      <c r="E3" s="393"/>
      <c r="F3" s="392" t="s">
        <v>182</v>
      </c>
      <c r="G3" s="392"/>
      <c r="H3" s="392"/>
      <c r="I3" s="393"/>
      <c r="J3" s="388" t="s">
        <v>183</v>
      </c>
      <c r="K3" s="388" t="s">
        <v>37</v>
      </c>
      <c r="L3" s="388" t="s">
        <v>184</v>
      </c>
      <c r="M3" s="389"/>
    </row>
    <row r="4" spans="1:13">
      <c r="A4" s="390"/>
      <c r="B4" s="111" t="s">
        <v>185</v>
      </c>
      <c r="C4" s="111" t="s">
        <v>109</v>
      </c>
      <c r="D4" s="111" t="s">
        <v>86</v>
      </c>
      <c r="E4" s="111" t="s">
        <v>41</v>
      </c>
      <c r="F4" s="111" t="s">
        <v>186</v>
      </c>
      <c r="G4" s="111" t="s">
        <v>110</v>
      </c>
      <c r="H4" s="111" t="s">
        <v>111</v>
      </c>
      <c r="I4" s="111" t="s">
        <v>41</v>
      </c>
      <c r="J4" s="390"/>
      <c r="K4" s="390"/>
      <c r="L4" s="390"/>
      <c r="M4" s="389"/>
    </row>
    <row r="5" spans="1:13">
      <c r="A5" s="112" t="s">
        <v>187</v>
      </c>
      <c r="B5" s="112" t="s">
        <v>210</v>
      </c>
      <c r="C5" s="112" t="s">
        <v>210</v>
      </c>
      <c r="D5" s="112" t="s">
        <v>210</v>
      </c>
      <c r="E5" s="112" t="s">
        <v>210</v>
      </c>
      <c r="F5" s="112" t="s">
        <v>210</v>
      </c>
      <c r="G5" s="112" t="s">
        <v>210</v>
      </c>
      <c r="H5" s="112" t="s">
        <v>210</v>
      </c>
      <c r="I5" s="112" t="s">
        <v>210</v>
      </c>
      <c r="J5" s="112" t="s">
        <v>210</v>
      </c>
      <c r="K5" s="112" t="s">
        <v>211</v>
      </c>
      <c r="L5" s="112" t="s">
        <v>207</v>
      </c>
      <c r="M5" s="390"/>
    </row>
    <row r="6" spans="1:13">
      <c r="A6" s="46" t="s">
        <v>71</v>
      </c>
      <c r="B6" s="256">
        <f t="shared" ref="B6:J6" si="0">B7+B11</f>
        <v>0</v>
      </c>
      <c r="C6" s="256">
        <f t="shared" si="0"/>
        <v>0</v>
      </c>
      <c r="D6" s="256">
        <f t="shared" si="0"/>
        <v>0</v>
      </c>
      <c r="E6" s="256">
        <f t="shared" si="0"/>
        <v>0</v>
      </c>
      <c r="F6" s="256">
        <f t="shared" si="0"/>
        <v>0</v>
      </c>
      <c r="G6" s="256">
        <f t="shared" si="0"/>
        <v>0</v>
      </c>
      <c r="H6" s="256">
        <f t="shared" si="0"/>
        <v>0</v>
      </c>
      <c r="I6" s="256">
        <f t="shared" si="0"/>
        <v>0</v>
      </c>
      <c r="J6" s="256">
        <f t="shared" si="0"/>
        <v>0</v>
      </c>
      <c r="K6" s="256">
        <f t="shared" ref="K6" si="1">E6+I6</f>
        <v>0</v>
      </c>
      <c r="L6" s="257">
        <f>ROUNDUP(DuKienTiLeTBBB!I5/2,0)</f>
        <v>3</v>
      </c>
      <c r="M6" s="68"/>
    </row>
    <row r="7" spans="1:13">
      <c r="A7" s="113" t="s">
        <v>112</v>
      </c>
      <c r="B7" s="256">
        <f t="shared" ref="B7:K7" si="2">B8+B9+B10</f>
        <v>0</v>
      </c>
      <c r="C7" s="256">
        <f t="shared" si="2"/>
        <v>0</v>
      </c>
      <c r="D7" s="256">
        <f t="shared" si="2"/>
        <v>0</v>
      </c>
      <c r="E7" s="256">
        <f t="shared" si="2"/>
        <v>0</v>
      </c>
      <c r="F7" s="256">
        <f t="shared" si="2"/>
        <v>0</v>
      </c>
      <c r="G7" s="256">
        <f t="shared" si="2"/>
        <v>0</v>
      </c>
      <c r="H7" s="256">
        <f t="shared" si="2"/>
        <v>0</v>
      </c>
      <c r="I7" s="256">
        <f t="shared" si="2"/>
        <v>0</v>
      </c>
      <c r="J7" s="256">
        <f t="shared" si="2"/>
        <v>0</v>
      </c>
      <c r="K7" s="256">
        <f t="shared" si="2"/>
        <v>0</v>
      </c>
      <c r="L7" s="258"/>
      <c r="M7" s="68"/>
    </row>
    <row r="8" spans="1:13">
      <c r="A8" s="114" t="s">
        <v>188</v>
      </c>
      <c r="B8" s="68"/>
      <c r="C8" s="76"/>
      <c r="D8" s="76"/>
      <c r="E8" s="76"/>
      <c r="F8" s="76"/>
      <c r="G8" s="76"/>
      <c r="H8" s="76"/>
      <c r="I8" s="76"/>
      <c r="J8" s="68"/>
      <c r="K8" s="76"/>
      <c r="L8" s="68"/>
      <c r="M8" s="68"/>
    </row>
    <row r="9" spans="1:13">
      <c r="A9" s="114" t="s">
        <v>189</v>
      </c>
      <c r="B9" s="68"/>
      <c r="C9" s="78"/>
      <c r="D9" s="78"/>
      <c r="E9" s="78"/>
      <c r="F9" s="76"/>
      <c r="G9" s="76"/>
      <c r="H9" s="76"/>
      <c r="I9" s="76"/>
      <c r="J9" s="68"/>
      <c r="K9" s="76"/>
      <c r="L9" s="68"/>
      <c r="M9" s="68"/>
    </row>
    <row r="10" spans="1:13">
      <c r="A10" s="114" t="s">
        <v>190</v>
      </c>
      <c r="B10" s="68"/>
      <c r="C10" s="76"/>
      <c r="D10" s="76"/>
      <c r="E10" s="76"/>
      <c r="F10" s="76"/>
      <c r="G10" s="76"/>
      <c r="H10" s="76"/>
      <c r="I10" s="76"/>
      <c r="J10" s="68"/>
      <c r="K10" s="76"/>
      <c r="L10" s="68"/>
      <c r="M10" s="68"/>
    </row>
    <row r="11" spans="1:13">
      <c r="A11" s="113" t="s">
        <v>113</v>
      </c>
      <c r="B11" s="256">
        <f>B12+B13+B14</f>
        <v>0</v>
      </c>
      <c r="C11" s="256">
        <f>C12+C13+C14</f>
        <v>0</v>
      </c>
      <c r="D11" s="256">
        <f t="shared" ref="D11:K11" si="3">D12+D13+D14</f>
        <v>0</v>
      </c>
      <c r="E11" s="256">
        <f t="shared" si="3"/>
        <v>0</v>
      </c>
      <c r="F11" s="256">
        <f t="shared" si="3"/>
        <v>0</v>
      </c>
      <c r="G11" s="256">
        <f t="shared" si="3"/>
        <v>0</v>
      </c>
      <c r="H11" s="256">
        <f t="shared" si="3"/>
        <v>0</v>
      </c>
      <c r="I11" s="256">
        <f t="shared" si="3"/>
        <v>0</v>
      </c>
      <c r="J11" s="256">
        <f t="shared" si="3"/>
        <v>0</v>
      </c>
      <c r="K11" s="256">
        <f t="shared" si="3"/>
        <v>0</v>
      </c>
      <c r="L11" s="257">
        <f>L6</f>
        <v>3</v>
      </c>
      <c r="M11" s="68"/>
    </row>
    <row r="12" spans="1:13">
      <c r="A12" s="114" t="s">
        <v>188</v>
      </c>
      <c r="B12" s="68"/>
      <c r="C12" s="76"/>
      <c r="D12" s="79"/>
      <c r="E12" s="76"/>
      <c r="F12" s="76"/>
      <c r="G12" s="76"/>
      <c r="H12" s="76"/>
      <c r="I12" s="76"/>
      <c r="J12" s="68"/>
      <c r="K12" s="76"/>
      <c r="L12" s="68"/>
      <c r="M12" s="68"/>
    </row>
    <row r="13" spans="1:13">
      <c r="A13" s="114" t="s">
        <v>189</v>
      </c>
      <c r="B13" s="37"/>
      <c r="C13" s="77"/>
      <c r="D13" s="77"/>
      <c r="E13" s="76"/>
      <c r="F13" s="77"/>
      <c r="G13" s="77"/>
      <c r="H13" s="77"/>
      <c r="I13" s="76"/>
      <c r="J13" s="37"/>
      <c r="K13" s="76"/>
      <c r="L13" s="37"/>
      <c r="M13" s="37"/>
    </row>
    <row r="14" spans="1:13">
      <c r="A14" s="49" t="s">
        <v>190</v>
      </c>
      <c r="B14" s="38"/>
      <c r="C14" s="77"/>
      <c r="D14" s="77"/>
      <c r="E14" s="76"/>
      <c r="F14" s="77"/>
      <c r="G14" s="77"/>
      <c r="H14" s="77"/>
      <c r="I14" s="76"/>
      <c r="J14" s="37"/>
      <c r="K14" s="76"/>
      <c r="L14" s="37"/>
      <c r="M14" s="37"/>
    </row>
  </sheetData>
  <mergeCells count="8">
    <mergeCell ref="M2:M5"/>
    <mergeCell ref="A2:A4"/>
    <mergeCell ref="B2:L2"/>
    <mergeCell ref="B3:E3"/>
    <mergeCell ref="F3:I3"/>
    <mergeCell ref="J3:J4"/>
    <mergeCell ref="K3:K4"/>
    <mergeCell ref="L3:L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15FF-C8FE-48E4-8C0A-F783B3B0847F}">
  <sheetPr codeName="Sheet11">
    <tabColor theme="9"/>
  </sheetPr>
  <dimension ref="A2:M61"/>
  <sheetViews>
    <sheetView zoomScale="70" zoomScaleNormal="70" workbookViewId="0">
      <selection activeCell="W36" sqref="W36"/>
    </sheetView>
  </sheetViews>
  <sheetFormatPr defaultRowHeight="15"/>
  <cols>
    <col min="1" max="1" width="31.7109375" bestFit="1" customWidth="1"/>
    <col min="2" max="2" width="5.85546875" customWidth="1"/>
    <col min="3" max="3" width="9.5703125" bestFit="1" customWidth="1"/>
    <col min="4" max="4" width="14.42578125" bestFit="1" customWidth="1"/>
    <col min="5" max="5" width="8.42578125" bestFit="1" customWidth="1"/>
    <col min="6" max="6" width="9.7109375" bestFit="1" customWidth="1"/>
    <col min="7" max="7" width="9.85546875" bestFit="1" customWidth="1"/>
    <col min="8" max="8" width="11.7109375" bestFit="1" customWidth="1"/>
    <col min="9" max="9" width="13.28515625" customWidth="1"/>
    <col min="10" max="10" width="11" customWidth="1"/>
    <col min="11" max="11" width="11.7109375" bestFit="1" customWidth="1"/>
    <col min="12" max="12" width="7.28515625" bestFit="1" customWidth="1"/>
    <col min="13" max="13" width="7.85546875" bestFit="1" customWidth="1"/>
  </cols>
  <sheetData>
    <row r="2" spans="1:13">
      <c r="A2" s="394" t="s">
        <v>191</v>
      </c>
      <c r="B2" s="396" t="s">
        <v>184</v>
      </c>
      <c r="C2" s="394" t="s">
        <v>192</v>
      </c>
      <c r="D2" s="394"/>
      <c r="E2" s="394" t="s">
        <v>147</v>
      </c>
      <c r="F2" s="394"/>
      <c r="G2" s="394" t="s">
        <v>193</v>
      </c>
      <c r="H2" s="394" t="s">
        <v>204</v>
      </c>
      <c r="I2" s="394"/>
      <c r="J2" s="394"/>
      <c r="K2" s="394" t="s">
        <v>194</v>
      </c>
      <c r="L2" s="394"/>
      <c r="M2" s="394"/>
    </row>
    <row r="3" spans="1:13">
      <c r="A3" s="394"/>
      <c r="B3" s="396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</row>
    <row r="4" spans="1:13">
      <c r="A4" s="394"/>
      <c r="B4" s="396"/>
      <c r="C4" s="395" t="s">
        <v>195</v>
      </c>
      <c r="D4" s="395" t="s">
        <v>208</v>
      </c>
      <c r="E4" s="395" t="s">
        <v>196</v>
      </c>
      <c r="F4" s="395" t="s">
        <v>197</v>
      </c>
      <c r="G4" s="394"/>
      <c r="H4" s="115" t="s">
        <v>198</v>
      </c>
      <c r="I4" s="395" t="s">
        <v>146</v>
      </c>
      <c r="J4" s="395"/>
      <c r="K4" s="115" t="s">
        <v>198</v>
      </c>
      <c r="L4" s="395" t="s">
        <v>146</v>
      </c>
      <c r="M4" s="395"/>
    </row>
    <row r="5" spans="1:13">
      <c r="A5" s="394"/>
      <c r="B5" s="396"/>
      <c r="C5" s="395"/>
      <c r="D5" s="395"/>
      <c r="E5" s="395"/>
      <c r="F5" s="395"/>
      <c r="G5" s="394"/>
      <c r="H5" s="395" t="s">
        <v>209</v>
      </c>
      <c r="I5" s="395" t="s">
        <v>199</v>
      </c>
      <c r="J5" s="395" t="s">
        <v>200</v>
      </c>
      <c r="K5" s="395" t="s">
        <v>209</v>
      </c>
      <c r="L5" s="395" t="s">
        <v>199</v>
      </c>
      <c r="M5" s="395" t="s">
        <v>200</v>
      </c>
    </row>
    <row r="6" spans="1:13">
      <c r="A6" s="394"/>
      <c r="B6" s="396"/>
      <c r="C6" s="395"/>
      <c r="D6" s="395"/>
      <c r="E6" s="395"/>
      <c r="F6" s="395"/>
      <c r="G6" s="394"/>
      <c r="H6" s="395"/>
      <c r="I6" s="395"/>
      <c r="J6" s="395"/>
      <c r="K6" s="395"/>
      <c r="L6" s="395"/>
      <c r="M6" s="395"/>
    </row>
    <row r="7" spans="1:13">
      <c r="A7" s="113" t="s">
        <v>201</v>
      </c>
      <c r="B7" s="115">
        <f>DuKienTiLeTBBB!J5</f>
        <v>3</v>
      </c>
      <c r="C7" s="114"/>
      <c r="D7" s="114"/>
      <c r="E7" s="69"/>
      <c r="F7" s="69"/>
      <c r="G7" s="69"/>
      <c r="H7" s="69"/>
      <c r="I7" s="69"/>
      <c r="J7" s="69"/>
      <c r="K7" s="69"/>
      <c r="L7" s="69"/>
      <c r="M7" s="69"/>
    </row>
    <row r="8" spans="1:13">
      <c r="A8" s="395" t="s">
        <v>202</v>
      </c>
      <c r="B8" s="395">
        <v>0</v>
      </c>
      <c r="C8" s="114" t="s">
        <v>186</v>
      </c>
      <c r="D8" s="278">
        <f>KhoiLuongVanTai!F9</f>
        <v>0</v>
      </c>
      <c r="E8" s="405" t="s">
        <v>212</v>
      </c>
      <c r="F8" s="405" t="s">
        <v>213</v>
      </c>
      <c r="G8" s="405"/>
      <c r="H8" s="81">
        <f t="shared" ref="H8:H17" si="0">D8</f>
        <v>0</v>
      </c>
      <c r="I8" s="69" t="s">
        <v>214</v>
      </c>
      <c r="J8" s="69" t="s">
        <v>219</v>
      </c>
      <c r="K8" s="69"/>
      <c r="L8" s="69"/>
      <c r="M8" s="69"/>
    </row>
    <row r="9" spans="1:13">
      <c r="A9" s="395"/>
      <c r="B9" s="395"/>
      <c r="C9" s="114" t="s">
        <v>110</v>
      </c>
      <c r="D9" s="278">
        <f>KhoiLuongVanTai!G9</f>
        <v>0</v>
      </c>
      <c r="E9" s="406"/>
      <c r="F9" s="406"/>
      <c r="G9" s="406"/>
      <c r="H9" s="81">
        <f t="shared" si="0"/>
        <v>0</v>
      </c>
      <c r="I9" s="69" t="s">
        <v>215</v>
      </c>
      <c r="J9" s="69" t="s">
        <v>220</v>
      </c>
      <c r="K9" s="69"/>
      <c r="L9" s="69"/>
      <c r="M9" s="69"/>
    </row>
    <row r="10" spans="1:13">
      <c r="A10" s="395"/>
      <c r="B10" s="395"/>
      <c r="C10" s="114" t="s">
        <v>111</v>
      </c>
      <c r="D10" s="278">
        <f>KhoiLuongVanTai!H9</f>
        <v>0</v>
      </c>
      <c r="E10" s="406"/>
      <c r="F10" s="406"/>
      <c r="G10" s="406"/>
      <c r="H10" s="81">
        <f t="shared" si="0"/>
        <v>0</v>
      </c>
      <c r="I10" s="69" t="s">
        <v>215</v>
      </c>
      <c r="J10" s="69" t="s">
        <v>220</v>
      </c>
      <c r="K10" s="69"/>
      <c r="L10" s="69"/>
      <c r="M10" s="69"/>
    </row>
    <row r="11" spans="1:13">
      <c r="A11" s="395"/>
      <c r="B11" s="395"/>
      <c r="C11" s="54" t="s">
        <v>86</v>
      </c>
      <c r="D11" s="279">
        <f>KhoiLuongVanTai!D9</f>
        <v>0</v>
      </c>
      <c r="E11" s="406"/>
      <c r="F11" s="406"/>
      <c r="G11" s="406"/>
      <c r="H11" s="81">
        <f t="shared" si="0"/>
        <v>0</v>
      </c>
      <c r="I11" s="69" t="s">
        <v>215</v>
      </c>
      <c r="J11" s="69" t="s">
        <v>220</v>
      </c>
      <c r="K11" s="69"/>
      <c r="L11" s="69"/>
      <c r="M11" s="69"/>
    </row>
    <row r="12" spans="1:13">
      <c r="A12" s="395"/>
      <c r="B12" s="395"/>
      <c r="C12" s="114" t="s">
        <v>109</v>
      </c>
      <c r="D12" s="278">
        <f>KhoiLuongVanTai!C9</f>
        <v>0</v>
      </c>
      <c r="E12" s="407"/>
      <c r="F12" s="407"/>
      <c r="G12" s="407"/>
      <c r="H12" s="81">
        <f t="shared" si="0"/>
        <v>0</v>
      </c>
      <c r="I12" s="69" t="s">
        <v>216</v>
      </c>
      <c r="J12" s="69" t="s">
        <v>218</v>
      </c>
      <c r="K12" s="69"/>
      <c r="L12" s="69"/>
      <c r="M12" s="69"/>
    </row>
    <row r="13" spans="1:13">
      <c r="A13" s="395" t="s">
        <v>203</v>
      </c>
      <c r="B13" s="340">
        <f>B7</f>
        <v>3</v>
      </c>
      <c r="C13" s="114" t="s">
        <v>186</v>
      </c>
      <c r="D13" s="278">
        <f>KhoiLuongVanTai!F13</f>
        <v>0</v>
      </c>
      <c r="E13" s="405" t="s">
        <v>212</v>
      </c>
      <c r="F13" s="405" t="s">
        <v>213</v>
      </c>
      <c r="G13" s="405"/>
      <c r="H13" s="81">
        <f t="shared" si="0"/>
        <v>0</v>
      </c>
      <c r="I13" s="69" t="s">
        <v>217</v>
      </c>
      <c r="J13" s="69"/>
      <c r="K13" s="69"/>
      <c r="L13" s="69"/>
      <c r="M13" s="69"/>
    </row>
    <row r="14" spans="1:13">
      <c r="A14" s="395"/>
      <c r="B14" s="340"/>
      <c r="C14" s="114" t="s">
        <v>110</v>
      </c>
      <c r="D14" s="278">
        <f>KhoiLuongVanTai!G13</f>
        <v>0</v>
      </c>
      <c r="E14" s="406"/>
      <c r="F14" s="406"/>
      <c r="G14" s="406"/>
      <c r="H14" s="81">
        <f t="shared" si="0"/>
        <v>0</v>
      </c>
      <c r="I14" s="69" t="s">
        <v>217</v>
      </c>
      <c r="J14" s="69"/>
      <c r="K14" s="69"/>
      <c r="L14" s="69"/>
      <c r="M14" s="69"/>
    </row>
    <row r="15" spans="1:13">
      <c r="A15" s="395"/>
      <c r="B15" s="340"/>
      <c r="C15" s="114" t="s">
        <v>111</v>
      </c>
      <c r="D15" s="278">
        <f>KhoiLuongVanTai!H13</f>
        <v>0</v>
      </c>
      <c r="E15" s="406"/>
      <c r="F15" s="406"/>
      <c r="G15" s="406"/>
      <c r="H15" s="81">
        <f t="shared" si="0"/>
        <v>0</v>
      </c>
      <c r="I15" s="69" t="s">
        <v>217</v>
      </c>
      <c r="J15" s="69"/>
      <c r="K15" s="69"/>
      <c r="L15" s="69"/>
      <c r="M15" s="69"/>
    </row>
    <row r="16" spans="1:13">
      <c r="A16" s="395"/>
      <c r="B16" s="340"/>
      <c r="C16" s="54" t="s">
        <v>86</v>
      </c>
      <c r="D16" s="278">
        <f>KhoiLuongVanTai!D13</f>
        <v>0</v>
      </c>
      <c r="E16" s="406"/>
      <c r="F16" s="406"/>
      <c r="G16" s="406"/>
      <c r="H16" s="81">
        <f t="shared" si="0"/>
        <v>0</v>
      </c>
      <c r="I16" s="69" t="s">
        <v>217</v>
      </c>
      <c r="J16" s="69"/>
      <c r="K16" s="69"/>
      <c r="L16" s="69"/>
      <c r="M16" s="69"/>
    </row>
    <row r="17" spans="1:13">
      <c r="A17" s="395"/>
      <c r="B17" s="340"/>
      <c r="C17" s="114" t="s">
        <v>109</v>
      </c>
      <c r="D17" s="278">
        <f>KhoiLuongVanTai!C13</f>
        <v>0</v>
      </c>
      <c r="E17" s="407"/>
      <c r="F17" s="407"/>
      <c r="G17" s="407"/>
      <c r="H17" s="81">
        <f t="shared" si="0"/>
        <v>0</v>
      </c>
      <c r="I17" s="69" t="s">
        <v>217</v>
      </c>
      <c r="J17" s="69"/>
      <c r="K17" s="69"/>
      <c r="L17" s="69"/>
      <c r="M17" s="69"/>
    </row>
    <row r="18" spans="1:13">
      <c r="A18" s="113" t="s">
        <v>205</v>
      </c>
      <c r="B18" s="115">
        <f>DuKienTiLeTBBB!J6</f>
        <v>32</v>
      </c>
      <c r="C18" s="114"/>
      <c r="D18" s="81"/>
      <c r="E18" s="69"/>
      <c r="F18" s="69"/>
      <c r="G18" s="70"/>
      <c r="H18" s="81"/>
      <c r="I18" s="69"/>
      <c r="J18" s="69"/>
      <c r="K18" s="69"/>
      <c r="L18" s="69"/>
      <c r="M18" s="69"/>
    </row>
    <row r="19" spans="1:13">
      <c r="A19" s="400" t="s">
        <v>202</v>
      </c>
      <c r="B19" s="397"/>
      <c r="C19" s="114" t="s">
        <v>186</v>
      </c>
      <c r="D19" s="81"/>
      <c r="E19" s="405" t="s">
        <v>212</v>
      </c>
      <c r="F19" s="405" t="s">
        <v>100</v>
      </c>
      <c r="G19" s="405">
        <v>0.7</v>
      </c>
      <c r="H19" s="81">
        <f t="shared" ref="H19:H28" si="1">D19</f>
        <v>0</v>
      </c>
      <c r="I19" s="69" t="s">
        <v>214</v>
      </c>
      <c r="J19" s="69" t="s">
        <v>219</v>
      </c>
      <c r="K19" s="69"/>
      <c r="L19" s="69"/>
      <c r="M19" s="69"/>
    </row>
    <row r="20" spans="1:13">
      <c r="A20" s="401"/>
      <c r="B20" s="398"/>
      <c r="C20" s="114" t="s">
        <v>110</v>
      </c>
      <c r="D20" s="81"/>
      <c r="E20" s="406"/>
      <c r="F20" s="406"/>
      <c r="G20" s="406"/>
      <c r="H20" s="81">
        <f t="shared" si="1"/>
        <v>0</v>
      </c>
      <c r="I20" s="69" t="s">
        <v>215</v>
      </c>
      <c r="J20" s="69" t="s">
        <v>220</v>
      </c>
      <c r="K20" s="69"/>
      <c r="L20" s="69"/>
      <c r="M20" s="69"/>
    </row>
    <row r="21" spans="1:13">
      <c r="A21" s="401"/>
      <c r="B21" s="398"/>
      <c r="C21" s="114" t="s">
        <v>111</v>
      </c>
      <c r="D21" s="81"/>
      <c r="E21" s="406"/>
      <c r="F21" s="406"/>
      <c r="G21" s="406"/>
      <c r="H21" s="81">
        <f t="shared" si="1"/>
        <v>0</v>
      </c>
      <c r="I21" s="69" t="s">
        <v>215</v>
      </c>
      <c r="J21" s="69" t="s">
        <v>220</v>
      </c>
      <c r="K21" s="69"/>
      <c r="L21" s="69"/>
      <c r="M21" s="69"/>
    </row>
    <row r="22" spans="1:13">
      <c r="A22" s="401"/>
      <c r="B22" s="398"/>
      <c r="C22" s="54" t="s">
        <v>86</v>
      </c>
      <c r="D22" s="81"/>
      <c r="E22" s="406"/>
      <c r="F22" s="406"/>
      <c r="G22" s="406"/>
      <c r="H22" s="81">
        <f t="shared" si="1"/>
        <v>0</v>
      </c>
      <c r="I22" s="69" t="s">
        <v>215</v>
      </c>
      <c r="J22" s="69" t="s">
        <v>220</v>
      </c>
      <c r="K22" s="69"/>
      <c r="L22" s="69"/>
      <c r="M22" s="69"/>
    </row>
    <row r="23" spans="1:13">
      <c r="A23" s="402"/>
      <c r="B23" s="399"/>
      <c r="C23" s="114" t="s">
        <v>109</v>
      </c>
      <c r="D23" s="81"/>
      <c r="E23" s="407"/>
      <c r="F23" s="407"/>
      <c r="G23" s="407"/>
      <c r="H23" s="81">
        <f t="shared" si="1"/>
        <v>0</v>
      </c>
      <c r="I23" s="69" t="s">
        <v>216</v>
      </c>
      <c r="J23" s="69" t="s">
        <v>218</v>
      </c>
      <c r="K23" s="69"/>
      <c r="L23" s="69"/>
      <c r="M23" s="69"/>
    </row>
    <row r="24" spans="1:13">
      <c r="A24" s="400" t="s">
        <v>203</v>
      </c>
      <c r="B24" s="337">
        <f>B18</f>
        <v>32</v>
      </c>
      <c r="C24" s="114" t="s">
        <v>186</v>
      </c>
      <c r="D24" s="81"/>
      <c r="E24" s="405" t="s">
        <v>212</v>
      </c>
      <c r="F24" s="405" t="s">
        <v>100</v>
      </c>
      <c r="G24" s="405">
        <v>1</v>
      </c>
      <c r="H24" s="81">
        <f t="shared" si="1"/>
        <v>0</v>
      </c>
      <c r="I24" s="69" t="s">
        <v>217</v>
      </c>
      <c r="J24" s="69"/>
      <c r="K24" s="69"/>
      <c r="L24" s="69"/>
      <c r="M24" s="69"/>
    </row>
    <row r="25" spans="1:13">
      <c r="A25" s="401"/>
      <c r="B25" s="338"/>
      <c r="C25" s="114" t="s">
        <v>110</v>
      </c>
      <c r="D25" s="81"/>
      <c r="E25" s="406"/>
      <c r="F25" s="406"/>
      <c r="G25" s="406"/>
      <c r="H25" s="81">
        <f t="shared" si="1"/>
        <v>0</v>
      </c>
      <c r="I25" s="69" t="s">
        <v>217</v>
      </c>
      <c r="J25" s="69"/>
      <c r="K25" s="69"/>
      <c r="L25" s="69"/>
      <c r="M25" s="69"/>
    </row>
    <row r="26" spans="1:13">
      <c r="A26" s="401"/>
      <c r="B26" s="338"/>
      <c r="C26" s="114" t="s">
        <v>111</v>
      </c>
      <c r="D26" s="81"/>
      <c r="E26" s="406"/>
      <c r="F26" s="406"/>
      <c r="G26" s="406"/>
      <c r="H26" s="81">
        <f t="shared" si="1"/>
        <v>0</v>
      </c>
      <c r="I26" s="69" t="s">
        <v>217</v>
      </c>
      <c r="J26" s="69"/>
      <c r="K26" s="69"/>
      <c r="L26" s="69"/>
      <c r="M26" s="69"/>
    </row>
    <row r="27" spans="1:13">
      <c r="A27" s="401"/>
      <c r="B27" s="338"/>
      <c r="C27" s="54" t="s">
        <v>86</v>
      </c>
      <c r="D27" s="81"/>
      <c r="E27" s="406"/>
      <c r="F27" s="406"/>
      <c r="G27" s="406"/>
      <c r="H27" s="81">
        <f t="shared" si="1"/>
        <v>0</v>
      </c>
      <c r="I27" s="69" t="s">
        <v>217</v>
      </c>
      <c r="J27" s="69"/>
      <c r="K27" s="69"/>
      <c r="L27" s="69"/>
      <c r="M27" s="69"/>
    </row>
    <row r="28" spans="1:13">
      <c r="A28" s="402"/>
      <c r="B28" s="339"/>
      <c r="C28" s="114" t="s">
        <v>109</v>
      </c>
      <c r="D28" s="82"/>
      <c r="E28" s="407"/>
      <c r="F28" s="407"/>
      <c r="G28" s="407"/>
      <c r="H28" s="81">
        <f t="shared" si="1"/>
        <v>0</v>
      </c>
      <c r="I28" s="69" t="s">
        <v>217</v>
      </c>
      <c r="J28" s="36"/>
      <c r="K28" s="36"/>
      <c r="L28" s="36"/>
      <c r="M28" s="36"/>
    </row>
    <row r="29" spans="1:13">
      <c r="A29" s="113" t="s">
        <v>206</v>
      </c>
      <c r="B29" s="115">
        <f>DuKienTiLeTBBB!J7</f>
        <v>19</v>
      </c>
      <c r="C29" s="54"/>
      <c r="D29" s="82"/>
      <c r="E29" s="36"/>
      <c r="F29" s="36"/>
      <c r="G29" s="57"/>
      <c r="H29" s="81"/>
      <c r="I29" s="36"/>
      <c r="J29" s="36"/>
      <c r="K29" s="36"/>
      <c r="L29" s="36"/>
      <c r="M29" s="36"/>
    </row>
    <row r="30" spans="1:13">
      <c r="A30" s="337" t="s">
        <v>202</v>
      </c>
      <c r="B30" s="337"/>
      <c r="C30" s="114" t="s">
        <v>186</v>
      </c>
      <c r="D30" s="82"/>
      <c r="E30" s="405" t="s">
        <v>212</v>
      </c>
      <c r="F30" s="405" t="s">
        <v>101</v>
      </c>
      <c r="G30" s="405">
        <v>1</v>
      </c>
      <c r="H30" s="81">
        <f t="shared" ref="H30:H39" si="2">D30</f>
        <v>0</v>
      </c>
      <c r="I30" s="69" t="s">
        <v>214</v>
      </c>
      <c r="J30" s="69" t="s">
        <v>219</v>
      </c>
      <c r="K30" s="36"/>
      <c r="L30" s="36"/>
      <c r="M30" s="36"/>
    </row>
    <row r="31" spans="1:13">
      <c r="A31" s="403"/>
      <c r="B31" s="403"/>
      <c r="C31" s="114" t="s">
        <v>110</v>
      </c>
      <c r="D31" s="82"/>
      <c r="E31" s="406"/>
      <c r="F31" s="406"/>
      <c r="G31" s="406"/>
      <c r="H31" s="81">
        <f t="shared" si="2"/>
        <v>0</v>
      </c>
      <c r="I31" s="69" t="s">
        <v>215</v>
      </c>
      <c r="J31" s="69" t="s">
        <v>220</v>
      </c>
      <c r="K31" s="36"/>
      <c r="L31" s="36"/>
      <c r="M31" s="36"/>
    </row>
    <row r="32" spans="1:13">
      <c r="A32" s="403"/>
      <c r="B32" s="403"/>
      <c r="C32" s="114" t="s">
        <v>111</v>
      </c>
      <c r="D32" s="82"/>
      <c r="E32" s="406"/>
      <c r="F32" s="406"/>
      <c r="G32" s="406"/>
      <c r="H32" s="81">
        <f t="shared" si="2"/>
        <v>0</v>
      </c>
      <c r="I32" s="69" t="s">
        <v>215</v>
      </c>
      <c r="J32" s="69" t="s">
        <v>220</v>
      </c>
      <c r="K32" s="36"/>
      <c r="L32" s="36"/>
      <c r="M32" s="36"/>
    </row>
    <row r="33" spans="1:13">
      <c r="A33" s="403"/>
      <c r="B33" s="403"/>
      <c r="C33" s="54" t="s">
        <v>86</v>
      </c>
      <c r="D33" s="82"/>
      <c r="E33" s="406"/>
      <c r="F33" s="406"/>
      <c r="G33" s="406"/>
      <c r="H33" s="81">
        <f t="shared" si="2"/>
        <v>0</v>
      </c>
      <c r="I33" s="69" t="s">
        <v>215</v>
      </c>
      <c r="J33" s="69" t="s">
        <v>220</v>
      </c>
      <c r="K33" s="36"/>
      <c r="L33" s="36"/>
      <c r="M33" s="36"/>
    </row>
    <row r="34" spans="1:13">
      <c r="A34" s="404"/>
      <c r="B34" s="404"/>
      <c r="C34" s="114" t="s">
        <v>109</v>
      </c>
      <c r="D34" s="82"/>
      <c r="E34" s="407"/>
      <c r="F34" s="407"/>
      <c r="G34" s="407"/>
      <c r="H34" s="81">
        <f t="shared" si="2"/>
        <v>0</v>
      </c>
      <c r="I34" s="69" t="s">
        <v>216</v>
      </c>
      <c r="J34" s="69" t="s">
        <v>218</v>
      </c>
      <c r="K34" s="36"/>
      <c r="L34" s="36"/>
      <c r="M34" s="36"/>
    </row>
    <row r="35" spans="1:13">
      <c r="A35" s="337" t="s">
        <v>203</v>
      </c>
      <c r="B35" s="337">
        <f>B29</f>
        <v>19</v>
      </c>
      <c r="C35" s="114" t="s">
        <v>186</v>
      </c>
      <c r="D35" s="82"/>
      <c r="E35" s="405" t="s">
        <v>212</v>
      </c>
      <c r="F35" s="405" t="s">
        <v>101</v>
      </c>
      <c r="G35" s="408">
        <v>1.5</v>
      </c>
      <c r="H35" s="81">
        <f t="shared" si="2"/>
        <v>0</v>
      </c>
      <c r="I35" s="69" t="s">
        <v>217</v>
      </c>
      <c r="J35" s="36"/>
      <c r="K35" s="36"/>
      <c r="L35" s="36"/>
      <c r="M35" s="36"/>
    </row>
    <row r="36" spans="1:13">
      <c r="A36" s="403"/>
      <c r="B36" s="403"/>
      <c r="C36" s="114" t="s">
        <v>110</v>
      </c>
      <c r="D36" s="82"/>
      <c r="E36" s="406"/>
      <c r="F36" s="406"/>
      <c r="G36" s="409"/>
      <c r="H36" s="81">
        <f t="shared" si="2"/>
        <v>0</v>
      </c>
      <c r="I36" s="69" t="s">
        <v>217</v>
      </c>
      <c r="J36" s="36"/>
      <c r="K36" s="36"/>
      <c r="L36" s="36"/>
      <c r="M36" s="36"/>
    </row>
    <row r="37" spans="1:13">
      <c r="A37" s="403"/>
      <c r="B37" s="403"/>
      <c r="C37" s="114" t="s">
        <v>111</v>
      </c>
      <c r="D37" s="82"/>
      <c r="E37" s="406"/>
      <c r="F37" s="406"/>
      <c r="G37" s="409"/>
      <c r="H37" s="81">
        <f t="shared" si="2"/>
        <v>0</v>
      </c>
      <c r="I37" s="69" t="s">
        <v>217</v>
      </c>
      <c r="J37" s="36"/>
      <c r="K37" s="36"/>
      <c r="L37" s="36"/>
      <c r="M37" s="36"/>
    </row>
    <row r="38" spans="1:13">
      <c r="A38" s="403"/>
      <c r="B38" s="403"/>
      <c r="C38" s="54" t="s">
        <v>86</v>
      </c>
      <c r="D38" s="82"/>
      <c r="E38" s="406"/>
      <c r="F38" s="406"/>
      <c r="G38" s="409"/>
      <c r="H38" s="81">
        <f t="shared" si="2"/>
        <v>0</v>
      </c>
      <c r="I38" s="69" t="s">
        <v>217</v>
      </c>
      <c r="J38" s="36"/>
      <c r="K38" s="36"/>
      <c r="L38" s="36"/>
      <c r="M38" s="36"/>
    </row>
    <row r="39" spans="1:13">
      <c r="A39" s="404"/>
      <c r="B39" s="404"/>
      <c r="C39" s="114" t="s">
        <v>109</v>
      </c>
      <c r="D39" s="82"/>
      <c r="E39" s="407"/>
      <c r="F39" s="407"/>
      <c r="G39" s="410"/>
      <c r="H39" s="81">
        <f t="shared" si="2"/>
        <v>0</v>
      </c>
      <c r="I39" s="69" t="s">
        <v>217</v>
      </c>
      <c r="J39" s="36"/>
      <c r="K39" s="36"/>
      <c r="L39" s="36"/>
      <c r="M39" s="36"/>
    </row>
    <row r="40" spans="1:13">
      <c r="A40" s="113" t="s">
        <v>323</v>
      </c>
      <c r="B40" s="115">
        <f>DuKienTiLeTBBB!J8</f>
        <v>10</v>
      </c>
      <c r="C40" s="54"/>
      <c r="D40" s="82"/>
      <c r="E40" s="36"/>
      <c r="F40" s="36"/>
      <c r="G40" s="57"/>
      <c r="H40" s="81"/>
      <c r="I40" s="36"/>
      <c r="J40" s="36"/>
      <c r="K40" s="36"/>
      <c r="L40" s="36"/>
      <c r="M40" s="36"/>
    </row>
    <row r="41" spans="1:13">
      <c r="A41" s="337" t="s">
        <v>202</v>
      </c>
      <c r="B41" s="397"/>
      <c r="C41" s="114" t="s">
        <v>186</v>
      </c>
      <c r="D41" s="82"/>
      <c r="E41" s="405" t="s">
        <v>212</v>
      </c>
      <c r="F41" s="405" t="s">
        <v>78</v>
      </c>
      <c r="G41" s="408">
        <v>0.7</v>
      </c>
      <c r="H41" s="81">
        <f t="shared" ref="H41:H50" si="3">D41</f>
        <v>0</v>
      </c>
      <c r="I41" s="69" t="s">
        <v>214</v>
      </c>
      <c r="J41" s="69" t="s">
        <v>219</v>
      </c>
      <c r="K41" s="36"/>
      <c r="L41" s="36"/>
      <c r="M41" s="36"/>
    </row>
    <row r="42" spans="1:13">
      <c r="A42" s="338"/>
      <c r="B42" s="398"/>
      <c r="C42" s="114" t="s">
        <v>110</v>
      </c>
      <c r="D42" s="82"/>
      <c r="E42" s="406"/>
      <c r="F42" s="406"/>
      <c r="G42" s="409"/>
      <c r="H42" s="81">
        <f t="shared" si="3"/>
        <v>0</v>
      </c>
      <c r="I42" s="69" t="s">
        <v>215</v>
      </c>
      <c r="J42" s="69" t="s">
        <v>220</v>
      </c>
      <c r="K42" s="36"/>
      <c r="L42" s="36"/>
      <c r="M42" s="36"/>
    </row>
    <row r="43" spans="1:13">
      <c r="A43" s="338"/>
      <c r="B43" s="398"/>
      <c r="C43" s="114" t="s">
        <v>111</v>
      </c>
      <c r="D43" s="82"/>
      <c r="E43" s="406"/>
      <c r="F43" s="406"/>
      <c r="G43" s="409"/>
      <c r="H43" s="81">
        <f t="shared" si="3"/>
        <v>0</v>
      </c>
      <c r="I43" s="69" t="s">
        <v>215</v>
      </c>
      <c r="J43" s="69" t="s">
        <v>220</v>
      </c>
      <c r="K43" s="36"/>
      <c r="L43" s="36"/>
      <c r="M43" s="36"/>
    </row>
    <row r="44" spans="1:13">
      <c r="A44" s="338"/>
      <c r="B44" s="398"/>
      <c r="C44" s="54" t="s">
        <v>86</v>
      </c>
      <c r="D44" s="82"/>
      <c r="E44" s="406"/>
      <c r="F44" s="406"/>
      <c r="G44" s="409"/>
      <c r="H44" s="81">
        <f t="shared" si="3"/>
        <v>0</v>
      </c>
      <c r="I44" s="69" t="s">
        <v>215</v>
      </c>
      <c r="J44" s="69" t="s">
        <v>220</v>
      </c>
      <c r="K44" s="36"/>
      <c r="L44" s="36"/>
      <c r="M44" s="36"/>
    </row>
    <row r="45" spans="1:13">
      <c r="A45" s="339"/>
      <c r="B45" s="399"/>
      <c r="C45" s="114" t="s">
        <v>109</v>
      </c>
      <c r="D45" s="82"/>
      <c r="E45" s="407"/>
      <c r="F45" s="407"/>
      <c r="G45" s="410"/>
      <c r="H45" s="81">
        <f t="shared" si="3"/>
        <v>0</v>
      </c>
      <c r="I45" s="69" t="s">
        <v>216</v>
      </c>
      <c r="J45" s="69" t="s">
        <v>218</v>
      </c>
      <c r="K45" s="36"/>
      <c r="L45" s="36"/>
      <c r="M45" s="36"/>
    </row>
    <row r="46" spans="1:13">
      <c r="A46" s="400" t="s">
        <v>203</v>
      </c>
      <c r="B46" s="400">
        <f>B40</f>
        <v>10</v>
      </c>
      <c r="C46" s="114" t="s">
        <v>186</v>
      </c>
      <c r="D46" s="82"/>
      <c r="E46" s="405" t="s">
        <v>212</v>
      </c>
      <c r="F46" s="405" t="s">
        <v>78</v>
      </c>
      <c r="G46" s="408">
        <v>0.8</v>
      </c>
      <c r="H46" s="81">
        <f t="shared" si="3"/>
        <v>0</v>
      </c>
      <c r="I46" s="69" t="s">
        <v>217</v>
      </c>
      <c r="J46" s="36"/>
      <c r="K46" s="36"/>
      <c r="L46" s="36"/>
      <c r="M46" s="36"/>
    </row>
    <row r="47" spans="1:13">
      <c r="A47" s="401"/>
      <c r="B47" s="401"/>
      <c r="C47" s="114" t="s">
        <v>110</v>
      </c>
      <c r="D47" s="82"/>
      <c r="E47" s="406"/>
      <c r="F47" s="406"/>
      <c r="G47" s="409"/>
      <c r="H47" s="81">
        <f t="shared" si="3"/>
        <v>0</v>
      </c>
      <c r="I47" s="69" t="s">
        <v>217</v>
      </c>
      <c r="J47" s="36"/>
      <c r="K47" s="36"/>
      <c r="L47" s="36"/>
      <c r="M47" s="36"/>
    </row>
    <row r="48" spans="1:13">
      <c r="A48" s="401"/>
      <c r="B48" s="401"/>
      <c r="C48" s="114" t="s">
        <v>111</v>
      </c>
      <c r="D48" s="82"/>
      <c r="E48" s="406"/>
      <c r="F48" s="406"/>
      <c r="G48" s="409"/>
      <c r="H48" s="81">
        <f t="shared" si="3"/>
        <v>0</v>
      </c>
      <c r="I48" s="69" t="s">
        <v>217</v>
      </c>
      <c r="J48" s="36"/>
      <c r="K48" s="36"/>
      <c r="L48" s="36"/>
      <c r="M48" s="36"/>
    </row>
    <row r="49" spans="1:13">
      <c r="A49" s="401"/>
      <c r="B49" s="401"/>
      <c r="C49" s="54" t="s">
        <v>86</v>
      </c>
      <c r="D49" s="82"/>
      <c r="E49" s="406"/>
      <c r="F49" s="406"/>
      <c r="G49" s="409"/>
      <c r="H49" s="81">
        <f t="shared" si="3"/>
        <v>0</v>
      </c>
      <c r="I49" s="69" t="s">
        <v>217</v>
      </c>
      <c r="J49" s="36"/>
      <c r="K49" s="36"/>
      <c r="L49" s="36"/>
      <c r="M49" s="36"/>
    </row>
    <row r="50" spans="1:13">
      <c r="A50" s="402"/>
      <c r="B50" s="402"/>
      <c r="C50" s="114" t="s">
        <v>109</v>
      </c>
      <c r="D50" s="82"/>
      <c r="E50" s="407"/>
      <c r="F50" s="407"/>
      <c r="G50" s="410"/>
      <c r="H50" s="81">
        <f t="shared" si="3"/>
        <v>0</v>
      </c>
      <c r="I50" s="69" t="s">
        <v>217</v>
      </c>
      <c r="J50" s="36"/>
      <c r="K50" s="36"/>
      <c r="L50" s="36"/>
      <c r="M50" s="36"/>
    </row>
    <row r="51" spans="1:13">
      <c r="A51" s="113" t="s">
        <v>137</v>
      </c>
      <c r="B51" s="115">
        <f>DuKienTiLeTBBB!J10</f>
        <v>3</v>
      </c>
      <c r="C51" s="54"/>
      <c r="D51" s="82"/>
      <c r="E51" s="36"/>
      <c r="F51" s="36"/>
      <c r="G51" s="57"/>
      <c r="H51" s="81"/>
      <c r="I51" s="36"/>
      <c r="J51" s="36"/>
      <c r="K51" s="36"/>
      <c r="L51" s="36"/>
      <c r="M51" s="36"/>
    </row>
    <row r="52" spans="1:13">
      <c r="A52" s="400" t="s">
        <v>202</v>
      </c>
      <c r="B52" s="397"/>
      <c r="C52" s="114" t="s">
        <v>186</v>
      </c>
      <c r="D52" s="82"/>
      <c r="E52" s="405" t="s">
        <v>212</v>
      </c>
      <c r="F52" s="405" t="s">
        <v>102</v>
      </c>
      <c r="G52" s="408">
        <v>0.5</v>
      </c>
      <c r="H52" s="81">
        <f t="shared" ref="H52:H61" si="4">D52</f>
        <v>0</v>
      </c>
      <c r="I52" s="69" t="s">
        <v>214</v>
      </c>
      <c r="J52" s="69" t="s">
        <v>219</v>
      </c>
      <c r="K52" s="36"/>
      <c r="L52" s="36"/>
      <c r="M52" s="36"/>
    </row>
    <row r="53" spans="1:13">
      <c r="A53" s="401"/>
      <c r="B53" s="398"/>
      <c r="C53" s="114" t="s">
        <v>110</v>
      </c>
      <c r="D53" s="82"/>
      <c r="E53" s="406"/>
      <c r="F53" s="406"/>
      <c r="G53" s="409"/>
      <c r="H53" s="81">
        <f t="shared" si="4"/>
        <v>0</v>
      </c>
      <c r="I53" s="69" t="s">
        <v>215</v>
      </c>
      <c r="J53" s="69" t="s">
        <v>220</v>
      </c>
      <c r="K53" s="36"/>
      <c r="L53" s="36"/>
      <c r="M53" s="36"/>
    </row>
    <row r="54" spans="1:13">
      <c r="A54" s="401"/>
      <c r="B54" s="398"/>
      <c r="C54" s="114" t="s">
        <v>111</v>
      </c>
      <c r="D54" s="82"/>
      <c r="E54" s="406"/>
      <c r="F54" s="406"/>
      <c r="G54" s="409"/>
      <c r="H54" s="81">
        <f t="shared" si="4"/>
        <v>0</v>
      </c>
      <c r="I54" s="69" t="s">
        <v>215</v>
      </c>
      <c r="J54" s="69" t="s">
        <v>220</v>
      </c>
      <c r="K54" s="36"/>
      <c r="L54" s="36"/>
      <c r="M54" s="36"/>
    </row>
    <row r="55" spans="1:13">
      <c r="A55" s="401"/>
      <c r="B55" s="398"/>
      <c r="C55" s="54" t="s">
        <v>86</v>
      </c>
      <c r="D55" s="82"/>
      <c r="E55" s="406"/>
      <c r="F55" s="406"/>
      <c r="G55" s="409"/>
      <c r="H55" s="81">
        <f t="shared" si="4"/>
        <v>0</v>
      </c>
      <c r="I55" s="69" t="s">
        <v>215</v>
      </c>
      <c r="J55" s="69" t="s">
        <v>220</v>
      </c>
      <c r="K55" s="36"/>
      <c r="L55" s="36"/>
      <c r="M55" s="36"/>
    </row>
    <row r="56" spans="1:13">
      <c r="A56" s="402"/>
      <c r="B56" s="399"/>
      <c r="C56" s="114" t="s">
        <v>109</v>
      </c>
      <c r="D56" s="82"/>
      <c r="E56" s="407"/>
      <c r="F56" s="407"/>
      <c r="G56" s="410"/>
      <c r="H56" s="81">
        <f t="shared" si="4"/>
        <v>0</v>
      </c>
      <c r="I56" s="69" t="s">
        <v>216</v>
      </c>
      <c r="J56" s="69" t="s">
        <v>218</v>
      </c>
      <c r="K56" s="36"/>
      <c r="L56" s="36"/>
      <c r="M56" s="36"/>
    </row>
    <row r="57" spans="1:13">
      <c r="A57" s="400" t="s">
        <v>203</v>
      </c>
      <c r="B57" s="400">
        <f>B51</f>
        <v>3</v>
      </c>
      <c r="C57" s="114" t="s">
        <v>186</v>
      </c>
      <c r="D57" s="82"/>
      <c r="E57" s="405" t="s">
        <v>212</v>
      </c>
      <c r="F57" s="405" t="s">
        <v>102</v>
      </c>
      <c r="G57" s="408">
        <v>0.3</v>
      </c>
      <c r="H57" s="81">
        <f t="shared" si="4"/>
        <v>0</v>
      </c>
      <c r="I57" s="69" t="s">
        <v>217</v>
      </c>
      <c r="J57" s="36"/>
      <c r="K57" s="36"/>
      <c r="L57" s="36"/>
      <c r="M57" s="36"/>
    </row>
    <row r="58" spans="1:13">
      <c r="A58" s="401"/>
      <c r="B58" s="401"/>
      <c r="C58" s="114" t="s">
        <v>110</v>
      </c>
      <c r="D58" s="82"/>
      <c r="E58" s="406"/>
      <c r="F58" s="406"/>
      <c r="G58" s="409"/>
      <c r="H58" s="81">
        <f t="shared" si="4"/>
        <v>0</v>
      </c>
      <c r="I58" s="69" t="s">
        <v>217</v>
      </c>
      <c r="J58" s="36"/>
      <c r="K58" s="36"/>
      <c r="L58" s="36"/>
      <c r="M58" s="36"/>
    </row>
    <row r="59" spans="1:13">
      <c r="A59" s="401"/>
      <c r="B59" s="401"/>
      <c r="C59" s="114" t="s">
        <v>111</v>
      </c>
      <c r="D59" s="82"/>
      <c r="E59" s="406"/>
      <c r="F59" s="406"/>
      <c r="G59" s="409"/>
      <c r="H59" s="81">
        <f t="shared" si="4"/>
        <v>0</v>
      </c>
      <c r="I59" s="69" t="s">
        <v>217</v>
      </c>
      <c r="J59" s="36"/>
      <c r="K59" s="36"/>
      <c r="L59" s="36"/>
      <c r="M59" s="36"/>
    </row>
    <row r="60" spans="1:13">
      <c r="A60" s="401"/>
      <c r="B60" s="401"/>
      <c r="C60" s="54" t="s">
        <v>86</v>
      </c>
      <c r="D60" s="82"/>
      <c r="E60" s="406"/>
      <c r="F60" s="406"/>
      <c r="G60" s="409"/>
      <c r="H60" s="81">
        <f t="shared" si="4"/>
        <v>0</v>
      </c>
      <c r="I60" s="69" t="s">
        <v>217</v>
      </c>
      <c r="J60" s="36"/>
      <c r="K60" s="36"/>
      <c r="L60" s="36"/>
      <c r="M60" s="36"/>
    </row>
    <row r="61" spans="1:13">
      <c r="A61" s="402"/>
      <c r="B61" s="402"/>
      <c r="C61" s="114" t="s">
        <v>109</v>
      </c>
      <c r="D61" s="82"/>
      <c r="E61" s="407"/>
      <c r="F61" s="407"/>
      <c r="G61" s="410"/>
      <c r="H61" s="81">
        <f t="shared" si="4"/>
        <v>0</v>
      </c>
      <c r="I61" s="69" t="s">
        <v>217</v>
      </c>
      <c r="J61" s="36"/>
      <c r="K61" s="36"/>
      <c r="L61" s="36"/>
      <c r="M61" s="36"/>
    </row>
  </sheetData>
  <mergeCells count="69">
    <mergeCell ref="G35:G39"/>
    <mergeCell ref="E57:E61"/>
    <mergeCell ref="F57:F61"/>
    <mergeCell ref="G41:G45"/>
    <mergeCell ref="G46:G50"/>
    <mergeCell ref="G52:G56"/>
    <mergeCell ref="G57:G61"/>
    <mergeCell ref="E41:E45"/>
    <mergeCell ref="F41:F45"/>
    <mergeCell ref="E46:E50"/>
    <mergeCell ref="F46:F50"/>
    <mergeCell ref="E52:E56"/>
    <mergeCell ref="F52:F56"/>
    <mergeCell ref="G8:G12"/>
    <mergeCell ref="G13:G17"/>
    <mergeCell ref="G19:G23"/>
    <mergeCell ref="G24:G28"/>
    <mergeCell ref="G30:G34"/>
    <mergeCell ref="E24:E28"/>
    <mergeCell ref="F24:F28"/>
    <mergeCell ref="E30:E34"/>
    <mergeCell ref="F30:F34"/>
    <mergeCell ref="E35:E39"/>
    <mergeCell ref="F35:F39"/>
    <mergeCell ref="E8:E12"/>
    <mergeCell ref="F8:F12"/>
    <mergeCell ref="E13:E17"/>
    <mergeCell ref="F13:F17"/>
    <mergeCell ref="E19:E23"/>
    <mergeCell ref="F19:F23"/>
    <mergeCell ref="A46:A50"/>
    <mergeCell ref="B46:B50"/>
    <mergeCell ref="A52:A56"/>
    <mergeCell ref="A57:A61"/>
    <mergeCell ref="B57:B61"/>
    <mergeCell ref="B52:B56"/>
    <mergeCell ref="A30:A34"/>
    <mergeCell ref="B30:B34"/>
    <mergeCell ref="A35:A39"/>
    <mergeCell ref="B35:B39"/>
    <mergeCell ref="A41:A45"/>
    <mergeCell ref="B41:B45"/>
    <mergeCell ref="A13:A17"/>
    <mergeCell ref="B13:B17"/>
    <mergeCell ref="B19:B23"/>
    <mergeCell ref="A19:A23"/>
    <mergeCell ref="A24:A28"/>
    <mergeCell ref="B24:B28"/>
    <mergeCell ref="A8:A12"/>
    <mergeCell ref="B8:B12"/>
    <mergeCell ref="A2:A6"/>
    <mergeCell ref="B2:B6"/>
    <mergeCell ref="C2:D3"/>
    <mergeCell ref="L4:M4"/>
    <mergeCell ref="I4:J4"/>
    <mergeCell ref="H5:H6"/>
    <mergeCell ref="K2:M3"/>
    <mergeCell ref="H2:J3"/>
    <mergeCell ref="I5:I6"/>
    <mergeCell ref="K5:K6"/>
    <mergeCell ref="L5:L6"/>
    <mergeCell ref="M5:M6"/>
    <mergeCell ref="J5:J6"/>
    <mergeCell ref="G2:G6"/>
    <mergeCell ref="C4:C6"/>
    <mergeCell ref="D4:D6"/>
    <mergeCell ref="E4:E6"/>
    <mergeCell ref="F4:F6"/>
    <mergeCell ref="E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12</vt:i4>
      </vt:variant>
    </vt:vector>
  </HeadingPairs>
  <TitlesOfParts>
    <vt:vector size="12" baseType="lpstr">
      <vt:lpstr>QSTBKT</vt:lpstr>
      <vt:lpstr>TinhHinhVC</vt:lpstr>
      <vt:lpstr>ChiLenhHCKT</vt:lpstr>
      <vt:lpstr>DuKienKLVatChat</vt:lpstr>
      <vt:lpstr>PhanCapVCHC</vt:lpstr>
      <vt:lpstr>DuKienTiLeTBBB</vt:lpstr>
      <vt:lpstr>ToChucLucLuong</vt:lpstr>
      <vt:lpstr>Đạn</vt:lpstr>
      <vt:lpstr>VCHCVTKT</vt:lpstr>
      <vt:lpstr>TiLeVuKhiHuHong</vt:lpstr>
      <vt:lpstr>KhoiLuongVanTai</vt:lpstr>
      <vt:lpstr>KeHoachVanChuyen</vt:lpstr>
    </vt:vector>
  </TitlesOfParts>
  <Company>9Slide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9Slide</dc:creator>
  <cp:lastModifiedBy>Nguyen Thi Thanh Huyen</cp:lastModifiedBy>
  <dcterms:created xsi:type="dcterms:W3CDTF">2025-01-06T07:15:12Z</dcterms:created>
  <dcterms:modified xsi:type="dcterms:W3CDTF">2026-03-08T17:48:14Z</dcterms:modified>
</cp:coreProperties>
</file>