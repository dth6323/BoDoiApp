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new\Resources\Sheet\"/>
    </mc:Choice>
  </mc:AlternateContent>
  <xr:revisionPtr revIDLastSave="0" documentId="13_ncr:1_{F5EBB69A-D385-4CC3-8EB7-3430D98AC315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KhoiLuongVanTai" sheetId="11" r:id="rId1"/>
    <sheet name="KeHoachVanChuyen" sheetId="12" r:id="rId2"/>
    <sheet name="DuKienTiLeTBBB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2" l="1"/>
  <c r="B57" i="12" s="1"/>
  <c r="B40" i="12"/>
  <c r="B29" i="12"/>
  <c r="B18" i="12"/>
  <c r="D17" i="12"/>
  <c r="H17" i="12" s="1"/>
  <c r="D16" i="12"/>
  <c r="H16" i="12" s="1"/>
  <c r="D15" i="12"/>
  <c r="H15" i="12" s="1"/>
  <c r="D14" i="12"/>
  <c r="H14" i="12" s="1"/>
  <c r="D13" i="12"/>
  <c r="H13" i="12" s="1"/>
  <c r="D12" i="12"/>
  <c r="H12" i="12" s="1"/>
  <c r="D11" i="12"/>
  <c r="H11" i="12" s="1"/>
  <c r="D10" i="12"/>
  <c r="H10" i="12" s="1"/>
  <c r="D9" i="12"/>
  <c r="H9" i="12" s="1"/>
  <c r="D8" i="12"/>
  <c r="H8" i="12" s="1"/>
  <c r="B7" i="12"/>
  <c r="B13" i="12" s="1"/>
  <c r="H61" i="12"/>
  <c r="H60" i="12"/>
  <c r="H59" i="12"/>
  <c r="H58" i="12"/>
  <c r="H57" i="12"/>
  <c r="H56" i="12"/>
  <c r="H55" i="12"/>
  <c r="H54" i="12"/>
  <c r="H53" i="12"/>
  <c r="H52" i="12"/>
  <c r="H50" i="12"/>
  <c r="H49" i="12"/>
  <c r="H48" i="12"/>
  <c r="H47" i="12"/>
  <c r="H46" i="12"/>
  <c r="H45" i="12"/>
  <c r="H44" i="12"/>
  <c r="H43" i="12"/>
  <c r="H42" i="12"/>
  <c r="H41" i="12"/>
  <c r="B46" i="12"/>
  <c r="H39" i="12"/>
  <c r="H38" i="12"/>
  <c r="H37" i="12"/>
  <c r="H36" i="12"/>
  <c r="H35" i="12"/>
  <c r="H34" i="12"/>
  <c r="H33" i="12"/>
  <c r="H32" i="12"/>
  <c r="H31" i="12"/>
  <c r="H30" i="12"/>
  <c r="B35" i="12"/>
  <c r="H28" i="12"/>
  <c r="H27" i="12"/>
  <c r="H26" i="12"/>
  <c r="H25" i="12"/>
  <c r="H24" i="12"/>
  <c r="H23" i="12"/>
  <c r="H22" i="12"/>
  <c r="H21" i="12"/>
  <c r="H20" i="12"/>
  <c r="H19" i="12"/>
  <c r="B24" i="12"/>
  <c r="L11" i="11"/>
  <c r="K11" i="11"/>
  <c r="J11" i="11"/>
  <c r="I11" i="11"/>
  <c r="H11" i="11"/>
  <c r="G11" i="11"/>
  <c r="F11" i="11"/>
  <c r="E11" i="11"/>
  <c r="D11" i="11"/>
  <c r="C11" i="11"/>
  <c r="B11" i="11"/>
  <c r="K7" i="11"/>
  <c r="J7" i="11"/>
  <c r="J6" i="11" s="1"/>
  <c r="I7" i="11"/>
  <c r="H7" i="11"/>
  <c r="H6" i="11" s="1"/>
  <c r="G7" i="11"/>
  <c r="G6" i="11" s="1"/>
  <c r="F7" i="11"/>
  <c r="F6" i="11" s="1"/>
  <c r="E7" i="11"/>
  <c r="E6" i="11" s="1"/>
  <c r="D7" i="11"/>
  <c r="D6" i="11" s="1"/>
  <c r="C7" i="11"/>
  <c r="C6" i="11" s="1"/>
  <c r="B7" i="11"/>
  <c r="B6" i="11" l="1"/>
  <c r="I6" i="11"/>
  <c r="K6" i="11" s="1"/>
</calcChain>
</file>

<file path=xl/sharedStrings.xml><?xml version="1.0" encoding="utf-8"?>
<sst xmlns="http://schemas.openxmlformats.org/spreadsheetml/2006/main" count="219" uniqueCount="61">
  <si>
    <t>2. Khối lượng vận tải và phân cấp vận chuyển</t>
  </si>
  <si>
    <t>Nội dung</t>
  </si>
  <si>
    <t>Khối lượng vận chuyển</t>
  </si>
  <si>
    <t>Ghi chú</t>
  </si>
  <si>
    <t>Trang bị kỹ thuật</t>
  </si>
  <si>
    <t>Vật chất hậu cần</t>
  </si>
  <si>
    <t>Vật chất khác</t>
  </si>
  <si>
    <t>Cộng</t>
  </si>
  <si>
    <t>Người</t>
  </si>
  <si>
    <t>VKTB</t>
  </si>
  <si>
    <t>Đạn</t>
  </si>
  <si>
    <t>VTKT</t>
  </si>
  <si>
    <t>+</t>
  </si>
  <si>
    <t>QN</t>
  </si>
  <si>
    <t>QY</t>
  </si>
  <si>
    <t>DT</t>
  </si>
  <si>
    <t>Đơn vị tính</t>
  </si>
  <si>
    <t>tấn</t>
  </si>
  <si>
    <t xml:space="preserve">tấn </t>
  </si>
  <si>
    <t>người</t>
  </si>
  <si>
    <t>Toàn trận</t>
  </si>
  <si>
    <t>GĐCB</t>
  </si>
  <si>
    <t>Trên chuyển</t>
  </si>
  <si>
    <t>Cấp mình</t>
  </si>
  <si>
    <t>Dưới chuyển</t>
  </si>
  <si>
    <t>GĐCĐ</t>
  </si>
  <si>
    <t>Nội dung, Đơn vị được vận chuyển</t>
  </si>
  <si>
    <t>TBKT, vật chất HC, KT</t>
  </si>
  <si>
    <t>Địa điểm</t>
  </si>
  <si>
    <r>
      <t xml:space="preserve">Cự ly </t>
    </r>
    <r>
      <rPr>
        <sz val="11"/>
        <color theme="1"/>
        <rFont val="Times New Roman"/>
        <family val="1"/>
      </rPr>
      <t>(km)</t>
    </r>
  </si>
  <si>
    <t>Vận chuyển thô sơ</t>
  </si>
  <si>
    <t>Vận chuyển khác</t>
  </si>
  <si>
    <t>Chủng loại</t>
  </si>
  <si>
    <t>Khối lượng (tấn)</t>
  </si>
  <si>
    <t>Nơi nhận</t>
  </si>
  <si>
    <t>Nơi giao</t>
  </si>
  <si>
    <t>TBKT</t>
  </si>
  <si>
    <t>Thời gian</t>
  </si>
  <si>
    <t>vật chất (tấn)</t>
  </si>
  <si>
    <t>Bắt đầu</t>
  </si>
  <si>
    <t>Kết thúc</t>
  </si>
  <si>
    <t>TỔNG SỐ</t>
  </si>
  <si>
    <t>GĐCB CĐ</t>
  </si>
  <si>
    <t>HCKT/d</t>
  </si>
  <si>
    <t>Các hướng</t>
  </si>
  <si>
    <t>17.00 N-3</t>
  </si>
  <si>
    <t>20.00 N-3</t>
  </si>
  <si>
    <t>17.00 N-2</t>
  </si>
  <si>
    <t>20.00 N-2</t>
  </si>
  <si>
    <t>21.00 N-1</t>
  </si>
  <si>
    <t>23.00 N-1</t>
  </si>
  <si>
    <t>GĐTH CĐ</t>
  </si>
  <si>
    <t>Khi có lệnh</t>
  </si>
  <si>
    <t>Hướng CY</t>
  </si>
  <si>
    <t>HCY</t>
  </si>
  <si>
    <t>Hướng TY</t>
  </si>
  <si>
    <t>HTY</t>
  </si>
  <si>
    <t>LL phía sau</t>
  </si>
  <si>
    <t>LLDB</t>
  </si>
  <si>
    <t>LL còn lại</t>
  </si>
  <si>
    <t>LLCL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</si>
</sst>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7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5" fontId="1" fillId="2" borderId="1" xfId="0" applyNumberFormat="1" applyFont="1" applyFill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165" fontId="1" fillId="2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3" borderId="1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" fillId="2" borderId="2" xfId="0" quotePrefix="1" applyFont="1" applyFill="1" applyBorder="1" applyAlignment="1">
      <alignment horizontal="center" vertical="center"/>
    </xf>
    <xf numFmtId="0" fontId="1" fillId="2" borderId="6" xfId="0" quotePrefix="1" applyFont="1" applyFill="1" applyBorder="1" applyAlignment="1">
      <alignment horizontal="center" vertical="center"/>
    </xf>
    <xf numFmtId="0" fontId="1" fillId="2" borderId="7" xfId="0" quotePrefix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2D73-BEAF-4FB7-B256-60C13807C496}">
  <dimension ref="A1:M14"/>
  <sheetViews>
    <sheetView workbookViewId="0">
      <selection activeCell="H20" sqref="H20"/>
    </sheetView>
  </sheetViews>
  <sheetFormatPr defaultRowHeight="15"/>
  <cols>
    <col min="1" max="1" width="12" bestFit="1" customWidth="1"/>
  </cols>
  <sheetData>
    <row r="1" spans="1:13">
      <c r="A1" t="s">
        <v>0</v>
      </c>
    </row>
    <row r="2" spans="1:13">
      <c r="A2" s="28" t="s">
        <v>1</v>
      </c>
      <c r="B2" s="31" t="s">
        <v>2</v>
      </c>
      <c r="C2" s="32"/>
      <c r="D2" s="32"/>
      <c r="E2" s="32"/>
      <c r="F2" s="32"/>
      <c r="G2" s="32"/>
      <c r="H2" s="32"/>
      <c r="I2" s="32"/>
      <c r="J2" s="32"/>
      <c r="K2" s="32"/>
      <c r="L2" s="33"/>
      <c r="M2" s="28" t="s">
        <v>3</v>
      </c>
    </row>
    <row r="3" spans="1:13">
      <c r="A3" s="29"/>
      <c r="B3" s="31" t="s">
        <v>4</v>
      </c>
      <c r="C3" s="32"/>
      <c r="D3" s="32"/>
      <c r="E3" s="33"/>
      <c r="F3" s="32" t="s">
        <v>5</v>
      </c>
      <c r="G3" s="32"/>
      <c r="H3" s="32"/>
      <c r="I3" s="33"/>
      <c r="J3" s="28" t="s">
        <v>6</v>
      </c>
      <c r="K3" s="28" t="s">
        <v>7</v>
      </c>
      <c r="L3" s="28" t="s">
        <v>8</v>
      </c>
      <c r="M3" s="29"/>
    </row>
    <row r="4" spans="1:13">
      <c r="A4" s="30"/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12</v>
      </c>
      <c r="J4" s="30"/>
      <c r="K4" s="30"/>
      <c r="L4" s="30"/>
      <c r="M4" s="29"/>
    </row>
    <row r="5" spans="1:13">
      <c r="A5" s="5" t="s">
        <v>16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18</v>
      </c>
      <c r="L5" s="5" t="s">
        <v>19</v>
      </c>
      <c r="M5" s="30"/>
    </row>
    <row r="6" spans="1:13">
      <c r="A6" s="1" t="s">
        <v>20</v>
      </c>
      <c r="B6" s="6">
        <f t="shared" ref="B6:J6" si="0">B7+B11</f>
        <v>0</v>
      </c>
      <c r="C6" s="6">
        <f t="shared" si="0"/>
        <v>0</v>
      </c>
      <c r="D6" s="6">
        <f t="shared" si="0"/>
        <v>0</v>
      </c>
      <c r="E6" s="6">
        <f t="shared" si="0"/>
        <v>0</v>
      </c>
      <c r="F6" s="6">
        <f t="shared" si="0"/>
        <v>0</v>
      </c>
      <c r="G6" s="6">
        <f t="shared" si="0"/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ref="K6" si="1">E6+I6</f>
        <v>0</v>
      </c>
      <c r="L6" s="7"/>
      <c r="M6" s="8"/>
    </row>
    <row r="7" spans="1:13">
      <c r="A7" s="9" t="s">
        <v>21</v>
      </c>
      <c r="B7" s="6">
        <f t="shared" ref="B7:K7" si="2">B8+B9+B10</f>
        <v>0</v>
      </c>
      <c r="C7" s="6">
        <f t="shared" si="2"/>
        <v>0</v>
      </c>
      <c r="D7" s="6">
        <f t="shared" si="2"/>
        <v>0</v>
      </c>
      <c r="E7" s="6">
        <f t="shared" si="2"/>
        <v>0</v>
      </c>
      <c r="F7" s="6">
        <f t="shared" si="2"/>
        <v>0</v>
      </c>
      <c r="G7" s="6">
        <f t="shared" si="2"/>
        <v>0</v>
      </c>
      <c r="H7" s="6">
        <f t="shared" si="2"/>
        <v>0</v>
      </c>
      <c r="I7" s="6">
        <f t="shared" si="2"/>
        <v>0</v>
      </c>
      <c r="J7" s="6">
        <f t="shared" si="2"/>
        <v>0</v>
      </c>
      <c r="K7" s="6">
        <f t="shared" si="2"/>
        <v>0</v>
      </c>
      <c r="L7" s="10"/>
      <c r="M7" s="8"/>
    </row>
    <row r="8" spans="1:13">
      <c r="A8" s="11" t="s">
        <v>22</v>
      </c>
      <c r="B8" s="8"/>
      <c r="C8" s="12"/>
      <c r="D8" s="12"/>
      <c r="E8" s="12"/>
      <c r="F8" s="12"/>
      <c r="G8" s="12"/>
      <c r="H8" s="12"/>
      <c r="I8" s="12"/>
      <c r="J8" s="8"/>
      <c r="K8" s="12"/>
      <c r="L8" s="8"/>
      <c r="M8" s="8"/>
    </row>
    <row r="9" spans="1:13">
      <c r="A9" s="11" t="s">
        <v>23</v>
      </c>
      <c r="B9" s="8"/>
      <c r="C9" s="13"/>
      <c r="D9" s="13"/>
      <c r="E9" s="13"/>
      <c r="F9" s="12"/>
      <c r="G9" s="12"/>
      <c r="H9" s="12"/>
      <c r="I9" s="12"/>
      <c r="J9" s="8"/>
      <c r="K9" s="12"/>
      <c r="L9" s="8"/>
      <c r="M9" s="8"/>
    </row>
    <row r="10" spans="1:13">
      <c r="A10" s="11" t="s">
        <v>24</v>
      </c>
      <c r="B10" s="8"/>
      <c r="C10" s="12"/>
      <c r="D10" s="12"/>
      <c r="E10" s="12"/>
      <c r="F10" s="12"/>
      <c r="G10" s="12"/>
      <c r="H10" s="12"/>
      <c r="I10" s="12"/>
      <c r="J10" s="8"/>
      <c r="K10" s="12"/>
      <c r="L10" s="8"/>
      <c r="M10" s="8"/>
    </row>
    <row r="11" spans="1:13">
      <c r="A11" s="9" t="s">
        <v>25</v>
      </c>
      <c r="B11" s="6">
        <f>B12+B13+B14</f>
        <v>0</v>
      </c>
      <c r="C11" s="6">
        <f>C12+C13+C14</f>
        <v>0</v>
      </c>
      <c r="D11" s="6">
        <f t="shared" ref="D11:K11" si="3">D12+D13+D14</f>
        <v>0</v>
      </c>
      <c r="E11" s="6">
        <f t="shared" si="3"/>
        <v>0</v>
      </c>
      <c r="F11" s="6">
        <f t="shared" si="3"/>
        <v>0</v>
      </c>
      <c r="G11" s="6">
        <f t="shared" si="3"/>
        <v>0</v>
      </c>
      <c r="H11" s="6">
        <f t="shared" si="3"/>
        <v>0</v>
      </c>
      <c r="I11" s="6">
        <f t="shared" si="3"/>
        <v>0</v>
      </c>
      <c r="J11" s="6">
        <f t="shared" si="3"/>
        <v>0</v>
      </c>
      <c r="K11" s="6">
        <f t="shared" si="3"/>
        <v>0</v>
      </c>
      <c r="L11" s="7">
        <f>L6</f>
        <v>0</v>
      </c>
      <c r="M11" s="8"/>
    </row>
    <row r="12" spans="1:13">
      <c r="A12" s="11" t="s">
        <v>22</v>
      </c>
      <c r="B12" s="8"/>
      <c r="C12" s="12"/>
      <c r="D12" s="14"/>
      <c r="E12" s="12"/>
      <c r="F12" s="12"/>
      <c r="G12" s="12"/>
      <c r="H12" s="12"/>
      <c r="I12" s="12"/>
      <c r="J12" s="8"/>
      <c r="K12" s="12"/>
      <c r="L12" s="8"/>
      <c r="M12" s="8"/>
    </row>
    <row r="13" spans="1:13">
      <c r="A13" s="11" t="s">
        <v>23</v>
      </c>
      <c r="B13" s="15"/>
      <c r="C13" s="16"/>
      <c r="D13" s="16"/>
      <c r="E13" s="12"/>
      <c r="F13" s="16"/>
      <c r="G13" s="16"/>
      <c r="H13" s="16"/>
      <c r="I13" s="12"/>
      <c r="J13" s="15"/>
      <c r="K13" s="12"/>
      <c r="L13" s="15"/>
      <c r="M13" s="15"/>
    </row>
    <row r="14" spans="1:13">
      <c r="A14" s="2" t="s">
        <v>24</v>
      </c>
      <c r="B14" s="17"/>
      <c r="C14" s="16"/>
      <c r="D14" s="16"/>
      <c r="E14" s="12"/>
      <c r="F14" s="16"/>
      <c r="G14" s="16"/>
      <c r="H14" s="16"/>
      <c r="I14" s="12"/>
      <c r="J14" s="15"/>
      <c r="K14" s="12"/>
      <c r="L14" s="15"/>
      <c r="M14" s="15"/>
    </row>
  </sheetData>
  <mergeCells count="8">
    <mergeCell ref="A2:A4"/>
    <mergeCell ref="B2:L2"/>
    <mergeCell ref="M2:M5"/>
    <mergeCell ref="B3:E3"/>
    <mergeCell ref="F3:I3"/>
    <mergeCell ref="J3:J4"/>
    <mergeCell ref="K3:K4"/>
    <mergeCell ref="L3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3B73-95AF-4261-92DF-40B9116B9172}">
  <dimension ref="A2:M61"/>
  <sheetViews>
    <sheetView tabSelected="1" workbookViewId="0">
      <selection activeCell="Q14" sqref="Q14"/>
    </sheetView>
  </sheetViews>
  <sheetFormatPr defaultRowHeight="15"/>
  <cols>
    <col min="1" max="1" width="31.7109375" bestFit="1" customWidth="1"/>
    <col min="2" max="2" width="6.85546875" customWidth="1"/>
    <col min="3" max="3" width="9.5703125" bestFit="1" customWidth="1"/>
    <col min="4" max="4" width="31.85546875" bestFit="1" customWidth="1"/>
    <col min="5" max="5" width="8.42578125" bestFit="1" customWidth="1"/>
    <col min="6" max="6" width="9.7109375" bestFit="1" customWidth="1"/>
    <col min="7" max="7" width="9.85546875" bestFit="1" customWidth="1"/>
    <col min="8" max="8" width="11.7109375" bestFit="1" customWidth="1"/>
    <col min="9" max="9" width="13.28515625" customWidth="1"/>
    <col min="10" max="10" width="11" customWidth="1"/>
    <col min="11" max="11" width="11.7109375" bestFit="1" customWidth="1"/>
    <col min="12" max="12" width="7.28515625" bestFit="1" customWidth="1"/>
    <col min="13" max="13" width="7.85546875" bestFit="1" customWidth="1"/>
  </cols>
  <sheetData>
    <row r="2" spans="1:13">
      <c r="A2" s="34" t="s">
        <v>26</v>
      </c>
      <c r="B2" s="35" t="s">
        <v>8</v>
      </c>
      <c r="C2" s="34" t="s">
        <v>27</v>
      </c>
      <c r="D2" s="34"/>
      <c r="E2" s="34" t="s">
        <v>28</v>
      </c>
      <c r="F2" s="34"/>
      <c r="G2" s="34" t="s">
        <v>29</v>
      </c>
      <c r="H2" s="34" t="s">
        <v>30</v>
      </c>
      <c r="I2" s="34"/>
      <c r="J2" s="34"/>
      <c r="K2" s="34" t="s">
        <v>31</v>
      </c>
      <c r="L2" s="34"/>
      <c r="M2" s="34"/>
    </row>
    <row r="3" spans="1:13">
      <c r="A3" s="34"/>
      <c r="B3" s="35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>
      <c r="A4" s="34"/>
      <c r="B4" s="35"/>
      <c r="C4" s="36" t="s">
        <v>32</v>
      </c>
      <c r="D4" s="36" t="s">
        <v>33</v>
      </c>
      <c r="E4" s="36" t="s">
        <v>34</v>
      </c>
      <c r="F4" s="36" t="s">
        <v>35</v>
      </c>
      <c r="G4" s="34"/>
      <c r="H4" s="18" t="s">
        <v>36</v>
      </c>
      <c r="I4" s="36" t="s">
        <v>37</v>
      </c>
      <c r="J4" s="36"/>
      <c r="K4" s="18" t="s">
        <v>36</v>
      </c>
      <c r="L4" s="36" t="s">
        <v>37</v>
      </c>
      <c r="M4" s="36"/>
    </row>
    <row r="5" spans="1:13">
      <c r="A5" s="34"/>
      <c r="B5" s="35"/>
      <c r="C5" s="36"/>
      <c r="D5" s="36"/>
      <c r="E5" s="36"/>
      <c r="F5" s="36"/>
      <c r="G5" s="34"/>
      <c r="H5" s="36" t="s">
        <v>38</v>
      </c>
      <c r="I5" s="36" t="s">
        <v>39</v>
      </c>
      <c r="J5" s="36" t="s">
        <v>40</v>
      </c>
      <c r="K5" s="36" t="s">
        <v>38</v>
      </c>
      <c r="L5" s="36" t="s">
        <v>39</v>
      </c>
      <c r="M5" s="36" t="s">
        <v>40</v>
      </c>
    </row>
    <row r="6" spans="1:13">
      <c r="A6" s="34"/>
      <c r="B6" s="35"/>
      <c r="C6" s="36"/>
      <c r="D6" s="36"/>
      <c r="E6" s="36"/>
      <c r="F6" s="36"/>
      <c r="G6" s="34"/>
      <c r="H6" s="36"/>
      <c r="I6" s="36"/>
      <c r="J6" s="36"/>
      <c r="K6" s="36"/>
      <c r="L6" s="36"/>
      <c r="M6" s="36"/>
    </row>
    <row r="7" spans="1:13">
      <c r="A7" s="9" t="s">
        <v>41</v>
      </c>
      <c r="B7" s="18">
        <f>DuKienTiLeTBBB!K5</f>
        <v>0</v>
      </c>
      <c r="C7" s="11"/>
      <c r="D7" s="11"/>
      <c r="E7" s="19"/>
      <c r="F7" s="19"/>
      <c r="G7" s="19"/>
      <c r="H7" s="19"/>
      <c r="I7" s="19"/>
      <c r="J7" s="19"/>
      <c r="K7" s="19"/>
      <c r="L7" s="19"/>
      <c r="M7" s="19"/>
    </row>
    <row r="8" spans="1:13">
      <c r="A8" s="36" t="s">
        <v>42</v>
      </c>
      <c r="B8" s="36">
        <v>0</v>
      </c>
      <c r="C8" s="11" t="s">
        <v>13</v>
      </c>
      <c r="D8" s="20">
        <f>KhoiLuongVanTai!F9</f>
        <v>0</v>
      </c>
      <c r="E8" s="38" t="s">
        <v>43</v>
      </c>
      <c r="F8" s="38" t="s">
        <v>44</v>
      </c>
      <c r="G8" s="38"/>
      <c r="H8" s="21">
        <f t="shared" ref="H8:H17" si="0">D8</f>
        <v>0</v>
      </c>
      <c r="I8" s="19" t="s">
        <v>45</v>
      </c>
      <c r="J8" s="19" t="s">
        <v>46</v>
      </c>
      <c r="K8" s="19"/>
      <c r="L8" s="19"/>
      <c r="M8" s="19"/>
    </row>
    <row r="9" spans="1:13">
      <c r="A9" s="36"/>
      <c r="B9" s="36"/>
      <c r="C9" s="11" t="s">
        <v>14</v>
      </c>
      <c r="D9" s="20">
        <f>KhoiLuongVanTai!G9</f>
        <v>0</v>
      </c>
      <c r="E9" s="39"/>
      <c r="F9" s="39"/>
      <c r="G9" s="39"/>
      <c r="H9" s="21">
        <f t="shared" si="0"/>
        <v>0</v>
      </c>
      <c r="I9" s="19" t="s">
        <v>47</v>
      </c>
      <c r="J9" s="19" t="s">
        <v>48</v>
      </c>
      <c r="K9" s="19"/>
      <c r="L9" s="19"/>
      <c r="M9" s="19"/>
    </row>
    <row r="10" spans="1:13">
      <c r="A10" s="36"/>
      <c r="B10" s="36"/>
      <c r="C10" s="11" t="s">
        <v>15</v>
      </c>
      <c r="D10" s="20">
        <f>KhoiLuongVanTai!H9</f>
        <v>0</v>
      </c>
      <c r="E10" s="39"/>
      <c r="F10" s="39"/>
      <c r="G10" s="39"/>
      <c r="H10" s="21">
        <f t="shared" si="0"/>
        <v>0</v>
      </c>
      <c r="I10" s="19" t="s">
        <v>47</v>
      </c>
      <c r="J10" s="19" t="s">
        <v>48</v>
      </c>
      <c r="K10" s="19"/>
      <c r="L10" s="19"/>
      <c r="M10" s="19"/>
    </row>
    <row r="11" spans="1:13">
      <c r="A11" s="36"/>
      <c r="B11" s="36"/>
      <c r="C11" s="3" t="s">
        <v>11</v>
      </c>
      <c r="D11" s="22">
        <f>KhoiLuongVanTai!D9</f>
        <v>0</v>
      </c>
      <c r="E11" s="39"/>
      <c r="F11" s="39"/>
      <c r="G11" s="39"/>
      <c r="H11" s="21">
        <f t="shared" si="0"/>
        <v>0</v>
      </c>
      <c r="I11" s="19" t="s">
        <v>47</v>
      </c>
      <c r="J11" s="19" t="s">
        <v>48</v>
      </c>
      <c r="K11" s="19"/>
      <c r="L11" s="19"/>
      <c r="M11" s="19"/>
    </row>
    <row r="12" spans="1:13">
      <c r="A12" s="36"/>
      <c r="B12" s="36"/>
      <c r="C12" s="11" t="s">
        <v>10</v>
      </c>
      <c r="D12" s="20">
        <f>KhoiLuongVanTai!C9</f>
        <v>0</v>
      </c>
      <c r="E12" s="40"/>
      <c r="F12" s="40"/>
      <c r="G12" s="40"/>
      <c r="H12" s="21">
        <f t="shared" si="0"/>
        <v>0</v>
      </c>
      <c r="I12" s="19" t="s">
        <v>49</v>
      </c>
      <c r="J12" s="19" t="s">
        <v>50</v>
      </c>
      <c r="K12" s="19"/>
      <c r="L12" s="19"/>
      <c r="M12" s="19"/>
    </row>
    <row r="13" spans="1:13">
      <c r="A13" s="36" t="s">
        <v>51</v>
      </c>
      <c r="B13" s="37">
        <f>B7</f>
        <v>0</v>
      </c>
      <c r="C13" s="11" t="s">
        <v>13</v>
      </c>
      <c r="D13" s="20">
        <f>KhoiLuongVanTai!F13</f>
        <v>0</v>
      </c>
      <c r="E13" s="38" t="s">
        <v>43</v>
      </c>
      <c r="F13" s="38" t="s">
        <v>44</v>
      </c>
      <c r="G13" s="38"/>
      <c r="H13" s="21">
        <f t="shared" si="0"/>
        <v>0</v>
      </c>
      <c r="I13" s="19" t="s">
        <v>52</v>
      </c>
      <c r="J13" s="19"/>
      <c r="K13" s="19"/>
      <c r="L13" s="19"/>
      <c r="M13" s="19"/>
    </row>
    <row r="14" spans="1:13">
      <c r="A14" s="36"/>
      <c r="B14" s="37"/>
      <c r="C14" s="11" t="s">
        <v>14</v>
      </c>
      <c r="D14" s="20">
        <f>KhoiLuongVanTai!G13</f>
        <v>0</v>
      </c>
      <c r="E14" s="39"/>
      <c r="F14" s="39"/>
      <c r="G14" s="39"/>
      <c r="H14" s="21">
        <f t="shared" si="0"/>
        <v>0</v>
      </c>
      <c r="I14" s="19" t="s">
        <v>52</v>
      </c>
      <c r="J14" s="19"/>
      <c r="K14" s="19"/>
      <c r="L14" s="19"/>
      <c r="M14" s="19"/>
    </row>
    <row r="15" spans="1:13">
      <c r="A15" s="36"/>
      <c r="B15" s="37"/>
      <c r="C15" s="11" t="s">
        <v>15</v>
      </c>
      <c r="D15" s="20">
        <f>KhoiLuongVanTai!H13</f>
        <v>0</v>
      </c>
      <c r="E15" s="39"/>
      <c r="F15" s="39"/>
      <c r="G15" s="39"/>
      <c r="H15" s="21">
        <f t="shared" si="0"/>
        <v>0</v>
      </c>
      <c r="I15" s="19" t="s">
        <v>52</v>
      </c>
      <c r="J15" s="19"/>
      <c r="K15" s="19"/>
      <c r="L15" s="19"/>
      <c r="M15" s="19"/>
    </row>
    <row r="16" spans="1:13">
      <c r="A16" s="36"/>
      <c r="B16" s="37"/>
      <c r="C16" s="3" t="s">
        <v>11</v>
      </c>
      <c r="D16" s="20">
        <f>KhoiLuongVanTai!D13</f>
        <v>0</v>
      </c>
      <c r="E16" s="39"/>
      <c r="F16" s="39"/>
      <c r="G16" s="39"/>
      <c r="H16" s="21">
        <f t="shared" si="0"/>
        <v>0</v>
      </c>
      <c r="I16" s="19" t="s">
        <v>52</v>
      </c>
      <c r="J16" s="19"/>
      <c r="K16" s="19"/>
      <c r="L16" s="19"/>
      <c r="M16" s="19"/>
    </row>
    <row r="17" spans="1:13">
      <c r="A17" s="36"/>
      <c r="B17" s="37"/>
      <c r="C17" s="11" t="s">
        <v>10</v>
      </c>
      <c r="D17" s="20">
        <f>KhoiLuongVanTai!C13</f>
        <v>0</v>
      </c>
      <c r="E17" s="40"/>
      <c r="F17" s="40"/>
      <c r="G17" s="40"/>
      <c r="H17" s="21">
        <f t="shared" si="0"/>
        <v>0</v>
      </c>
      <c r="I17" s="19" t="s">
        <v>52</v>
      </c>
      <c r="J17" s="19"/>
      <c r="K17" s="19"/>
      <c r="L17" s="19"/>
      <c r="M17" s="19"/>
    </row>
    <row r="18" spans="1:13">
      <c r="A18" s="9" t="s">
        <v>53</v>
      </c>
      <c r="B18" s="18">
        <f>DuKienTiLeTBBB!K6</f>
        <v>0</v>
      </c>
      <c r="C18" s="11"/>
      <c r="D18" s="21"/>
      <c r="E18" s="19"/>
      <c r="F18" s="19"/>
      <c r="G18" s="23"/>
      <c r="H18" s="21"/>
      <c r="I18" s="19"/>
      <c r="J18" s="19"/>
      <c r="K18" s="19"/>
      <c r="L18" s="19"/>
      <c r="M18" s="19"/>
    </row>
    <row r="19" spans="1:13">
      <c r="A19" s="41" t="s">
        <v>42</v>
      </c>
      <c r="B19" s="47"/>
      <c r="C19" s="11" t="s">
        <v>13</v>
      </c>
      <c r="D19" s="21"/>
      <c r="E19" s="38" t="s">
        <v>43</v>
      </c>
      <c r="F19" s="38" t="s">
        <v>54</v>
      </c>
      <c r="G19" s="38">
        <v>0.7</v>
      </c>
      <c r="H19" s="21">
        <f t="shared" ref="H19:H28" si="1">D19</f>
        <v>0</v>
      </c>
      <c r="I19" s="19" t="s">
        <v>45</v>
      </c>
      <c r="J19" s="19" t="s">
        <v>46</v>
      </c>
      <c r="K19" s="19"/>
      <c r="L19" s="19"/>
      <c r="M19" s="19"/>
    </row>
    <row r="20" spans="1:13">
      <c r="A20" s="42"/>
      <c r="B20" s="48"/>
      <c r="C20" s="11" t="s">
        <v>14</v>
      </c>
      <c r="D20" s="21"/>
      <c r="E20" s="39"/>
      <c r="F20" s="39"/>
      <c r="G20" s="39"/>
      <c r="H20" s="21">
        <f t="shared" si="1"/>
        <v>0</v>
      </c>
      <c r="I20" s="19" t="s">
        <v>47</v>
      </c>
      <c r="J20" s="19" t="s">
        <v>48</v>
      </c>
      <c r="K20" s="19"/>
      <c r="L20" s="19"/>
      <c r="M20" s="19"/>
    </row>
    <row r="21" spans="1:13">
      <c r="A21" s="42"/>
      <c r="B21" s="48"/>
      <c r="C21" s="11" t="s">
        <v>15</v>
      </c>
      <c r="D21" s="21"/>
      <c r="E21" s="39"/>
      <c r="F21" s="39"/>
      <c r="G21" s="39"/>
      <c r="H21" s="21">
        <f t="shared" si="1"/>
        <v>0</v>
      </c>
      <c r="I21" s="19" t="s">
        <v>47</v>
      </c>
      <c r="J21" s="19" t="s">
        <v>48</v>
      </c>
      <c r="K21" s="19"/>
      <c r="L21" s="19"/>
      <c r="M21" s="19"/>
    </row>
    <row r="22" spans="1:13">
      <c r="A22" s="42"/>
      <c r="B22" s="48"/>
      <c r="C22" s="3" t="s">
        <v>11</v>
      </c>
      <c r="D22" s="21"/>
      <c r="E22" s="39"/>
      <c r="F22" s="39"/>
      <c r="G22" s="39"/>
      <c r="H22" s="21">
        <f t="shared" si="1"/>
        <v>0</v>
      </c>
      <c r="I22" s="19" t="s">
        <v>47</v>
      </c>
      <c r="J22" s="19" t="s">
        <v>48</v>
      </c>
      <c r="K22" s="19"/>
      <c r="L22" s="19"/>
      <c r="M22" s="19"/>
    </row>
    <row r="23" spans="1:13">
      <c r="A23" s="43"/>
      <c r="B23" s="49"/>
      <c r="C23" s="11" t="s">
        <v>10</v>
      </c>
      <c r="D23" s="21"/>
      <c r="E23" s="40"/>
      <c r="F23" s="40"/>
      <c r="G23" s="40"/>
      <c r="H23" s="21">
        <f t="shared" si="1"/>
        <v>0</v>
      </c>
      <c r="I23" s="19" t="s">
        <v>49</v>
      </c>
      <c r="J23" s="19" t="s">
        <v>50</v>
      </c>
      <c r="K23" s="19"/>
      <c r="L23" s="19"/>
      <c r="M23" s="19"/>
    </row>
    <row r="24" spans="1:13">
      <c r="A24" s="41" t="s">
        <v>51</v>
      </c>
      <c r="B24" s="44">
        <f>B18</f>
        <v>0</v>
      </c>
      <c r="C24" s="11" t="s">
        <v>13</v>
      </c>
      <c r="D24" s="21"/>
      <c r="E24" s="38" t="s">
        <v>43</v>
      </c>
      <c r="F24" s="38" t="s">
        <v>54</v>
      </c>
      <c r="G24" s="38">
        <v>1</v>
      </c>
      <c r="H24" s="21">
        <f t="shared" si="1"/>
        <v>0</v>
      </c>
      <c r="I24" s="19" t="s">
        <v>52</v>
      </c>
      <c r="J24" s="19"/>
      <c r="K24" s="19"/>
      <c r="L24" s="19"/>
      <c r="M24" s="19"/>
    </row>
    <row r="25" spans="1:13">
      <c r="A25" s="42"/>
      <c r="B25" s="45"/>
      <c r="C25" s="11" t="s">
        <v>14</v>
      </c>
      <c r="D25" s="21"/>
      <c r="E25" s="39"/>
      <c r="F25" s="39"/>
      <c r="G25" s="39"/>
      <c r="H25" s="21">
        <f t="shared" si="1"/>
        <v>0</v>
      </c>
      <c r="I25" s="19" t="s">
        <v>52</v>
      </c>
      <c r="J25" s="19"/>
      <c r="K25" s="19"/>
      <c r="L25" s="19"/>
      <c r="M25" s="19"/>
    </row>
    <row r="26" spans="1:13">
      <c r="A26" s="42"/>
      <c r="B26" s="45"/>
      <c r="C26" s="11" t="s">
        <v>15</v>
      </c>
      <c r="D26" s="21"/>
      <c r="E26" s="39"/>
      <c r="F26" s="39"/>
      <c r="G26" s="39"/>
      <c r="H26" s="21">
        <f t="shared" si="1"/>
        <v>0</v>
      </c>
      <c r="I26" s="19" t="s">
        <v>52</v>
      </c>
      <c r="J26" s="19"/>
      <c r="K26" s="19"/>
      <c r="L26" s="19"/>
      <c r="M26" s="19"/>
    </row>
    <row r="27" spans="1:13">
      <c r="A27" s="42"/>
      <c r="B27" s="45"/>
      <c r="C27" s="3" t="s">
        <v>11</v>
      </c>
      <c r="D27" s="21"/>
      <c r="E27" s="39"/>
      <c r="F27" s="39"/>
      <c r="G27" s="39"/>
      <c r="H27" s="21">
        <f t="shared" si="1"/>
        <v>0</v>
      </c>
      <c r="I27" s="19" t="s">
        <v>52</v>
      </c>
      <c r="J27" s="19"/>
      <c r="K27" s="19"/>
      <c r="L27" s="19"/>
      <c r="M27" s="19"/>
    </row>
    <row r="28" spans="1:13">
      <c r="A28" s="43"/>
      <c r="B28" s="46"/>
      <c r="C28" s="11" t="s">
        <v>10</v>
      </c>
      <c r="D28" s="24"/>
      <c r="E28" s="40"/>
      <c r="F28" s="40"/>
      <c r="G28" s="40"/>
      <c r="H28" s="21">
        <f t="shared" si="1"/>
        <v>0</v>
      </c>
      <c r="I28" s="19" t="s">
        <v>52</v>
      </c>
      <c r="J28" s="25"/>
      <c r="K28" s="25"/>
      <c r="L28" s="25"/>
      <c r="M28" s="25"/>
    </row>
    <row r="29" spans="1:13">
      <c r="A29" s="9" t="s">
        <v>55</v>
      </c>
      <c r="B29" s="18">
        <f>DuKienTiLeTBBB!K7</f>
        <v>0</v>
      </c>
      <c r="C29" s="3"/>
      <c r="D29" s="24"/>
      <c r="E29" s="25"/>
      <c r="F29" s="25"/>
      <c r="G29" s="26"/>
      <c r="H29" s="21"/>
      <c r="I29" s="25"/>
      <c r="J29" s="25"/>
      <c r="K29" s="25"/>
      <c r="L29" s="25"/>
      <c r="M29" s="25"/>
    </row>
    <row r="30" spans="1:13">
      <c r="A30" s="44" t="s">
        <v>42</v>
      </c>
      <c r="B30" s="44"/>
      <c r="C30" s="11" t="s">
        <v>13</v>
      </c>
      <c r="D30" s="24"/>
      <c r="E30" s="38" t="s">
        <v>43</v>
      </c>
      <c r="F30" s="38" t="s">
        <v>56</v>
      </c>
      <c r="G30" s="38">
        <v>1</v>
      </c>
      <c r="H30" s="21">
        <f t="shared" ref="H30:H39" si="2">D30</f>
        <v>0</v>
      </c>
      <c r="I30" s="19" t="s">
        <v>45</v>
      </c>
      <c r="J30" s="19" t="s">
        <v>46</v>
      </c>
      <c r="K30" s="25"/>
      <c r="L30" s="25"/>
      <c r="M30" s="25"/>
    </row>
    <row r="31" spans="1:13">
      <c r="A31" s="50"/>
      <c r="B31" s="50"/>
      <c r="C31" s="11" t="s">
        <v>14</v>
      </c>
      <c r="D31" s="24"/>
      <c r="E31" s="39"/>
      <c r="F31" s="39"/>
      <c r="G31" s="39"/>
      <c r="H31" s="21">
        <f t="shared" si="2"/>
        <v>0</v>
      </c>
      <c r="I31" s="19" t="s">
        <v>47</v>
      </c>
      <c r="J31" s="19" t="s">
        <v>48</v>
      </c>
      <c r="K31" s="25"/>
      <c r="L31" s="25"/>
      <c r="M31" s="25"/>
    </row>
    <row r="32" spans="1:13">
      <c r="A32" s="50"/>
      <c r="B32" s="50"/>
      <c r="C32" s="11" t="s">
        <v>15</v>
      </c>
      <c r="D32" s="24"/>
      <c r="E32" s="39"/>
      <c r="F32" s="39"/>
      <c r="G32" s="39"/>
      <c r="H32" s="21">
        <f t="shared" si="2"/>
        <v>0</v>
      </c>
      <c r="I32" s="19" t="s">
        <v>47</v>
      </c>
      <c r="J32" s="19" t="s">
        <v>48</v>
      </c>
      <c r="K32" s="25"/>
      <c r="L32" s="25"/>
      <c r="M32" s="25"/>
    </row>
    <row r="33" spans="1:13">
      <c r="A33" s="50"/>
      <c r="B33" s="50"/>
      <c r="C33" s="3" t="s">
        <v>11</v>
      </c>
      <c r="D33" s="24"/>
      <c r="E33" s="39"/>
      <c r="F33" s="39"/>
      <c r="G33" s="39"/>
      <c r="H33" s="21">
        <f t="shared" si="2"/>
        <v>0</v>
      </c>
      <c r="I33" s="19" t="s">
        <v>47</v>
      </c>
      <c r="J33" s="19" t="s">
        <v>48</v>
      </c>
      <c r="K33" s="25"/>
      <c r="L33" s="25"/>
      <c r="M33" s="25"/>
    </row>
    <row r="34" spans="1:13">
      <c r="A34" s="51"/>
      <c r="B34" s="51"/>
      <c r="C34" s="11" t="s">
        <v>10</v>
      </c>
      <c r="D34" s="24"/>
      <c r="E34" s="40"/>
      <c r="F34" s="40"/>
      <c r="G34" s="40"/>
      <c r="H34" s="21">
        <f t="shared" si="2"/>
        <v>0</v>
      </c>
      <c r="I34" s="19" t="s">
        <v>49</v>
      </c>
      <c r="J34" s="19" t="s">
        <v>50</v>
      </c>
      <c r="K34" s="25"/>
      <c r="L34" s="25"/>
      <c r="M34" s="25"/>
    </row>
    <row r="35" spans="1:13">
      <c r="A35" s="44" t="s">
        <v>51</v>
      </c>
      <c r="B35" s="44">
        <f>B29</f>
        <v>0</v>
      </c>
      <c r="C35" s="11" t="s">
        <v>13</v>
      </c>
      <c r="D35" s="24"/>
      <c r="E35" s="38" t="s">
        <v>43</v>
      </c>
      <c r="F35" s="38" t="s">
        <v>56</v>
      </c>
      <c r="G35" s="52">
        <v>1.5</v>
      </c>
      <c r="H35" s="21">
        <f t="shared" si="2"/>
        <v>0</v>
      </c>
      <c r="I35" s="19" t="s">
        <v>52</v>
      </c>
      <c r="J35" s="25"/>
      <c r="K35" s="25"/>
      <c r="L35" s="25"/>
      <c r="M35" s="25"/>
    </row>
    <row r="36" spans="1:13">
      <c r="A36" s="50"/>
      <c r="B36" s="50"/>
      <c r="C36" s="11" t="s">
        <v>14</v>
      </c>
      <c r="D36" s="24"/>
      <c r="E36" s="39"/>
      <c r="F36" s="39"/>
      <c r="G36" s="53"/>
      <c r="H36" s="21">
        <f t="shared" si="2"/>
        <v>0</v>
      </c>
      <c r="I36" s="19" t="s">
        <v>52</v>
      </c>
      <c r="J36" s="25"/>
      <c r="K36" s="25"/>
      <c r="L36" s="25"/>
      <c r="M36" s="25"/>
    </row>
    <row r="37" spans="1:13">
      <c r="A37" s="50"/>
      <c r="B37" s="50"/>
      <c r="C37" s="11" t="s">
        <v>15</v>
      </c>
      <c r="D37" s="24"/>
      <c r="E37" s="39"/>
      <c r="F37" s="39"/>
      <c r="G37" s="53"/>
      <c r="H37" s="21">
        <f t="shared" si="2"/>
        <v>0</v>
      </c>
      <c r="I37" s="19" t="s">
        <v>52</v>
      </c>
      <c r="J37" s="25"/>
      <c r="K37" s="25"/>
      <c r="L37" s="25"/>
      <c r="M37" s="25"/>
    </row>
    <row r="38" spans="1:13">
      <c r="A38" s="50"/>
      <c r="B38" s="50"/>
      <c r="C38" s="3" t="s">
        <v>11</v>
      </c>
      <c r="D38" s="24"/>
      <c r="E38" s="39"/>
      <c r="F38" s="39"/>
      <c r="G38" s="53"/>
      <c r="H38" s="21">
        <f t="shared" si="2"/>
        <v>0</v>
      </c>
      <c r="I38" s="19" t="s">
        <v>52</v>
      </c>
      <c r="J38" s="25"/>
      <c r="K38" s="25"/>
      <c r="L38" s="25"/>
      <c r="M38" s="25"/>
    </row>
    <row r="39" spans="1:13">
      <c r="A39" s="51"/>
      <c r="B39" s="51"/>
      <c r="C39" s="11" t="s">
        <v>10</v>
      </c>
      <c r="D39" s="24"/>
      <c r="E39" s="40"/>
      <c r="F39" s="40"/>
      <c r="G39" s="54"/>
      <c r="H39" s="21">
        <f t="shared" si="2"/>
        <v>0</v>
      </c>
      <c r="I39" s="19" t="s">
        <v>52</v>
      </c>
      <c r="J39" s="25"/>
      <c r="K39" s="25"/>
      <c r="L39" s="25"/>
      <c r="M39" s="25"/>
    </row>
    <row r="40" spans="1:13">
      <c r="A40" s="9" t="s">
        <v>57</v>
      </c>
      <c r="B40" s="18">
        <f>DuKienTiLeTBBB!K8</f>
        <v>0</v>
      </c>
      <c r="C40" s="3"/>
      <c r="D40" s="24"/>
      <c r="E40" s="25"/>
      <c r="F40" s="25"/>
      <c r="G40" s="26"/>
      <c r="H40" s="21"/>
      <c r="I40" s="25"/>
      <c r="J40" s="25"/>
      <c r="K40" s="25"/>
      <c r="L40" s="25"/>
      <c r="M40" s="25"/>
    </row>
    <row r="41" spans="1:13">
      <c r="A41" s="44" t="s">
        <v>42</v>
      </c>
      <c r="B41" s="47"/>
      <c r="C41" s="11" t="s">
        <v>13</v>
      </c>
      <c r="D41" s="24"/>
      <c r="E41" s="38" t="s">
        <v>43</v>
      </c>
      <c r="F41" s="38" t="s">
        <v>58</v>
      </c>
      <c r="G41" s="52">
        <v>0.7</v>
      </c>
      <c r="H41" s="21">
        <f t="shared" ref="H41:H50" si="3">D41</f>
        <v>0</v>
      </c>
      <c r="I41" s="19" t="s">
        <v>45</v>
      </c>
      <c r="J41" s="19" t="s">
        <v>46</v>
      </c>
      <c r="K41" s="25"/>
      <c r="L41" s="25"/>
      <c r="M41" s="25"/>
    </row>
    <row r="42" spans="1:13">
      <c r="A42" s="45"/>
      <c r="B42" s="48"/>
      <c r="C42" s="11" t="s">
        <v>14</v>
      </c>
      <c r="D42" s="24"/>
      <c r="E42" s="39"/>
      <c r="F42" s="39"/>
      <c r="G42" s="53"/>
      <c r="H42" s="21">
        <f t="shared" si="3"/>
        <v>0</v>
      </c>
      <c r="I42" s="19" t="s">
        <v>47</v>
      </c>
      <c r="J42" s="19" t="s">
        <v>48</v>
      </c>
      <c r="K42" s="25"/>
      <c r="L42" s="25"/>
      <c r="M42" s="25"/>
    </row>
    <row r="43" spans="1:13">
      <c r="A43" s="45"/>
      <c r="B43" s="48"/>
      <c r="C43" s="11" t="s">
        <v>15</v>
      </c>
      <c r="D43" s="24"/>
      <c r="E43" s="39"/>
      <c r="F43" s="39"/>
      <c r="G43" s="53"/>
      <c r="H43" s="21">
        <f t="shared" si="3"/>
        <v>0</v>
      </c>
      <c r="I43" s="19" t="s">
        <v>47</v>
      </c>
      <c r="J43" s="19" t="s">
        <v>48</v>
      </c>
      <c r="K43" s="25"/>
      <c r="L43" s="25"/>
      <c r="M43" s="25"/>
    </row>
    <row r="44" spans="1:13">
      <c r="A44" s="45"/>
      <c r="B44" s="48"/>
      <c r="C44" s="3" t="s">
        <v>11</v>
      </c>
      <c r="D44" s="24"/>
      <c r="E44" s="39"/>
      <c r="F44" s="39"/>
      <c r="G44" s="53"/>
      <c r="H44" s="21">
        <f t="shared" si="3"/>
        <v>0</v>
      </c>
      <c r="I44" s="19" t="s">
        <v>47</v>
      </c>
      <c r="J44" s="19" t="s">
        <v>48</v>
      </c>
      <c r="K44" s="25"/>
      <c r="L44" s="25"/>
      <c r="M44" s="25"/>
    </row>
    <row r="45" spans="1:13">
      <c r="A45" s="46"/>
      <c r="B45" s="49"/>
      <c r="C45" s="11" t="s">
        <v>10</v>
      </c>
      <c r="D45" s="24"/>
      <c r="E45" s="40"/>
      <c r="F45" s="40"/>
      <c r="G45" s="54"/>
      <c r="H45" s="21">
        <f t="shared" si="3"/>
        <v>0</v>
      </c>
      <c r="I45" s="19" t="s">
        <v>49</v>
      </c>
      <c r="J45" s="19" t="s">
        <v>50</v>
      </c>
      <c r="K45" s="25"/>
      <c r="L45" s="25"/>
      <c r="M45" s="25"/>
    </row>
    <row r="46" spans="1:13">
      <c r="A46" s="41" t="s">
        <v>51</v>
      </c>
      <c r="B46" s="41">
        <f>B40</f>
        <v>0</v>
      </c>
      <c r="C46" s="11" t="s">
        <v>13</v>
      </c>
      <c r="D46" s="24"/>
      <c r="E46" s="38" t="s">
        <v>43</v>
      </c>
      <c r="F46" s="38" t="s">
        <v>58</v>
      </c>
      <c r="G46" s="52">
        <v>0.8</v>
      </c>
      <c r="H46" s="21">
        <f t="shared" si="3"/>
        <v>0</v>
      </c>
      <c r="I46" s="19" t="s">
        <v>52</v>
      </c>
      <c r="J46" s="25"/>
      <c r="K46" s="25"/>
      <c r="L46" s="25"/>
      <c r="M46" s="25"/>
    </row>
    <row r="47" spans="1:13">
      <c r="A47" s="42"/>
      <c r="B47" s="42"/>
      <c r="C47" s="11" t="s">
        <v>14</v>
      </c>
      <c r="D47" s="24"/>
      <c r="E47" s="39"/>
      <c r="F47" s="39"/>
      <c r="G47" s="53"/>
      <c r="H47" s="21">
        <f t="shared" si="3"/>
        <v>0</v>
      </c>
      <c r="I47" s="19" t="s">
        <v>52</v>
      </c>
      <c r="J47" s="25"/>
      <c r="K47" s="25"/>
      <c r="L47" s="25"/>
      <c r="M47" s="25"/>
    </row>
    <row r="48" spans="1:13">
      <c r="A48" s="42"/>
      <c r="B48" s="42"/>
      <c r="C48" s="11" t="s">
        <v>15</v>
      </c>
      <c r="D48" s="24"/>
      <c r="E48" s="39"/>
      <c r="F48" s="39"/>
      <c r="G48" s="53"/>
      <c r="H48" s="21">
        <f t="shared" si="3"/>
        <v>0</v>
      </c>
      <c r="I48" s="19" t="s">
        <v>52</v>
      </c>
      <c r="J48" s="25"/>
      <c r="K48" s="25"/>
      <c r="L48" s="25"/>
      <c r="M48" s="25"/>
    </row>
    <row r="49" spans="1:13">
      <c r="A49" s="42"/>
      <c r="B49" s="42"/>
      <c r="C49" s="3" t="s">
        <v>11</v>
      </c>
      <c r="D49" s="24"/>
      <c r="E49" s="39"/>
      <c r="F49" s="39"/>
      <c r="G49" s="53"/>
      <c r="H49" s="21">
        <f t="shared" si="3"/>
        <v>0</v>
      </c>
      <c r="I49" s="19" t="s">
        <v>52</v>
      </c>
      <c r="J49" s="25"/>
      <c r="K49" s="25"/>
      <c r="L49" s="25"/>
      <c r="M49" s="25"/>
    </row>
    <row r="50" spans="1:13">
      <c r="A50" s="43"/>
      <c r="B50" s="43"/>
      <c r="C50" s="11" t="s">
        <v>10</v>
      </c>
      <c r="D50" s="24"/>
      <c r="E50" s="40"/>
      <c r="F50" s="40"/>
      <c r="G50" s="54"/>
      <c r="H50" s="21">
        <f t="shared" si="3"/>
        <v>0</v>
      </c>
      <c r="I50" s="19" t="s">
        <v>52</v>
      </c>
      <c r="J50" s="25"/>
      <c r="K50" s="25"/>
      <c r="L50" s="25"/>
      <c r="M50" s="25"/>
    </row>
    <row r="51" spans="1:13">
      <c r="A51" s="9" t="s">
        <v>59</v>
      </c>
      <c r="B51" s="18">
        <f>DuKienTiLeTBBB!K10</f>
        <v>0</v>
      </c>
      <c r="C51" s="3"/>
      <c r="D51" s="24"/>
      <c r="E51" s="25"/>
      <c r="F51" s="25"/>
      <c r="G51" s="26"/>
      <c r="H51" s="21"/>
      <c r="I51" s="25"/>
      <c r="J51" s="25"/>
      <c r="K51" s="25"/>
      <c r="L51" s="25"/>
      <c r="M51" s="25"/>
    </row>
    <row r="52" spans="1:13">
      <c r="A52" s="41" t="s">
        <v>42</v>
      </c>
      <c r="B52" s="47"/>
      <c r="C52" s="11" t="s">
        <v>13</v>
      </c>
      <c r="D52" s="24"/>
      <c r="E52" s="38" t="s">
        <v>43</v>
      </c>
      <c r="F52" s="38" t="s">
        <v>60</v>
      </c>
      <c r="G52" s="52">
        <v>0.5</v>
      </c>
      <c r="H52" s="21">
        <f t="shared" ref="H52:H61" si="4">D52</f>
        <v>0</v>
      </c>
      <c r="I52" s="19" t="s">
        <v>45</v>
      </c>
      <c r="J52" s="19" t="s">
        <v>46</v>
      </c>
      <c r="K52" s="25"/>
      <c r="L52" s="25"/>
      <c r="M52" s="25"/>
    </row>
    <row r="53" spans="1:13">
      <c r="A53" s="42"/>
      <c r="B53" s="48"/>
      <c r="C53" s="11" t="s">
        <v>14</v>
      </c>
      <c r="D53" s="24"/>
      <c r="E53" s="39"/>
      <c r="F53" s="39"/>
      <c r="G53" s="53"/>
      <c r="H53" s="21">
        <f t="shared" si="4"/>
        <v>0</v>
      </c>
      <c r="I53" s="19" t="s">
        <v>47</v>
      </c>
      <c r="J53" s="19" t="s">
        <v>48</v>
      </c>
      <c r="K53" s="25"/>
      <c r="L53" s="25"/>
      <c r="M53" s="25"/>
    </row>
    <row r="54" spans="1:13">
      <c r="A54" s="42"/>
      <c r="B54" s="48"/>
      <c r="C54" s="11" t="s">
        <v>15</v>
      </c>
      <c r="D54" s="24"/>
      <c r="E54" s="39"/>
      <c r="F54" s="39"/>
      <c r="G54" s="53"/>
      <c r="H54" s="21">
        <f t="shared" si="4"/>
        <v>0</v>
      </c>
      <c r="I54" s="19" t="s">
        <v>47</v>
      </c>
      <c r="J54" s="19" t="s">
        <v>48</v>
      </c>
      <c r="K54" s="25"/>
      <c r="L54" s="25"/>
      <c r="M54" s="25"/>
    </row>
    <row r="55" spans="1:13">
      <c r="A55" s="42"/>
      <c r="B55" s="48"/>
      <c r="C55" s="3" t="s">
        <v>11</v>
      </c>
      <c r="D55" s="24"/>
      <c r="E55" s="39"/>
      <c r="F55" s="39"/>
      <c r="G55" s="53"/>
      <c r="H55" s="21">
        <f t="shared" si="4"/>
        <v>0</v>
      </c>
      <c r="I55" s="19" t="s">
        <v>47</v>
      </c>
      <c r="J55" s="19" t="s">
        <v>48</v>
      </c>
      <c r="K55" s="25"/>
      <c r="L55" s="25"/>
      <c r="M55" s="25"/>
    </row>
    <row r="56" spans="1:13">
      <c r="A56" s="43"/>
      <c r="B56" s="49"/>
      <c r="C56" s="11" t="s">
        <v>10</v>
      </c>
      <c r="D56" s="24"/>
      <c r="E56" s="40"/>
      <c r="F56" s="40"/>
      <c r="G56" s="54"/>
      <c r="H56" s="21">
        <f t="shared" si="4"/>
        <v>0</v>
      </c>
      <c r="I56" s="19" t="s">
        <v>49</v>
      </c>
      <c r="J56" s="19" t="s">
        <v>50</v>
      </c>
      <c r="K56" s="25"/>
      <c r="L56" s="25"/>
      <c r="M56" s="25"/>
    </row>
    <row r="57" spans="1:13">
      <c r="A57" s="41" t="s">
        <v>51</v>
      </c>
      <c r="B57" s="41">
        <f>B51</f>
        <v>0</v>
      </c>
      <c r="C57" s="11" t="s">
        <v>13</v>
      </c>
      <c r="D57" s="24"/>
      <c r="E57" s="38" t="s">
        <v>43</v>
      </c>
      <c r="F57" s="38" t="s">
        <v>60</v>
      </c>
      <c r="G57" s="52">
        <v>0.3</v>
      </c>
      <c r="H57" s="21">
        <f t="shared" si="4"/>
        <v>0</v>
      </c>
      <c r="I57" s="19" t="s">
        <v>52</v>
      </c>
      <c r="J57" s="25"/>
      <c r="K57" s="25"/>
      <c r="L57" s="25"/>
      <c r="M57" s="25"/>
    </row>
    <row r="58" spans="1:13">
      <c r="A58" s="42"/>
      <c r="B58" s="42"/>
      <c r="C58" s="11" t="s">
        <v>14</v>
      </c>
      <c r="D58" s="24"/>
      <c r="E58" s="39"/>
      <c r="F58" s="39"/>
      <c r="G58" s="53"/>
      <c r="H58" s="21">
        <f t="shared" si="4"/>
        <v>0</v>
      </c>
      <c r="I58" s="19" t="s">
        <v>52</v>
      </c>
      <c r="J58" s="25"/>
      <c r="K58" s="25"/>
      <c r="L58" s="25"/>
      <c r="M58" s="25"/>
    </row>
    <row r="59" spans="1:13">
      <c r="A59" s="42"/>
      <c r="B59" s="42"/>
      <c r="C59" s="11" t="s">
        <v>15</v>
      </c>
      <c r="D59" s="24"/>
      <c r="E59" s="39"/>
      <c r="F59" s="39"/>
      <c r="G59" s="53"/>
      <c r="H59" s="21">
        <f t="shared" si="4"/>
        <v>0</v>
      </c>
      <c r="I59" s="19" t="s">
        <v>52</v>
      </c>
      <c r="J59" s="25"/>
      <c r="K59" s="25"/>
      <c r="L59" s="25"/>
      <c r="M59" s="25"/>
    </row>
    <row r="60" spans="1:13">
      <c r="A60" s="42"/>
      <c r="B60" s="42"/>
      <c r="C60" s="3" t="s">
        <v>11</v>
      </c>
      <c r="D60" s="24"/>
      <c r="E60" s="39"/>
      <c r="F60" s="39"/>
      <c r="G60" s="53"/>
      <c r="H60" s="21">
        <f t="shared" si="4"/>
        <v>0</v>
      </c>
      <c r="I60" s="19" t="s">
        <v>52</v>
      </c>
      <c r="J60" s="25"/>
      <c r="K60" s="25"/>
      <c r="L60" s="25"/>
      <c r="M60" s="25"/>
    </row>
    <row r="61" spans="1:13">
      <c r="A61" s="43"/>
      <c r="B61" s="43"/>
      <c r="C61" s="11" t="s">
        <v>10</v>
      </c>
      <c r="D61" s="24"/>
      <c r="E61" s="40"/>
      <c r="F61" s="40"/>
      <c r="G61" s="54"/>
      <c r="H61" s="21">
        <f t="shared" si="4"/>
        <v>0</v>
      </c>
      <c r="I61" s="19" t="s">
        <v>52</v>
      </c>
      <c r="J61" s="25"/>
      <c r="K61" s="25"/>
      <c r="L61" s="25"/>
      <c r="M61" s="25"/>
    </row>
  </sheetData>
  <mergeCells count="69">
    <mergeCell ref="A52:A56"/>
    <mergeCell ref="B52:B56"/>
    <mergeCell ref="E52:E56"/>
    <mergeCell ref="F52:F56"/>
    <mergeCell ref="G52:G56"/>
    <mergeCell ref="A57:A61"/>
    <mergeCell ref="B57:B61"/>
    <mergeCell ref="E57:E61"/>
    <mergeCell ref="F57:F61"/>
    <mergeCell ref="G57:G61"/>
    <mergeCell ref="A41:A45"/>
    <mergeCell ref="B41:B45"/>
    <mergeCell ref="E41:E45"/>
    <mergeCell ref="F41:F45"/>
    <mergeCell ref="G41:G45"/>
    <mergeCell ref="A46:A50"/>
    <mergeCell ref="B46:B50"/>
    <mergeCell ref="E46:E50"/>
    <mergeCell ref="F46:F50"/>
    <mergeCell ref="G46:G50"/>
    <mergeCell ref="A30:A34"/>
    <mergeCell ref="B30:B34"/>
    <mergeCell ref="E30:E34"/>
    <mergeCell ref="F30:F34"/>
    <mergeCell ref="G30:G34"/>
    <mergeCell ref="A35:A39"/>
    <mergeCell ref="B35:B39"/>
    <mergeCell ref="E35:E39"/>
    <mergeCell ref="F35:F39"/>
    <mergeCell ref="G35:G39"/>
    <mergeCell ref="A19:A23"/>
    <mergeCell ref="B19:B23"/>
    <mergeCell ref="E19:E23"/>
    <mergeCell ref="F19:F23"/>
    <mergeCell ref="G19:G23"/>
    <mergeCell ref="A24:A28"/>
    <mergeCell ref="B24:B28"/>
    <mergeCell ref="E24:E28"/>
    <mergeCell ref="F24:F28"/>
    <mergeCell ref="G24:G28"/>
    <mergeCell ref="A8:A12"/>
    <mergeCell ref="B8:B12"/>
    <mergeCell ref="E8:E12"/>
    <mergeCell ref="F8:F12"/>
    <mergeCell ref="G8:G12"/>
    <mergeCell ref="A13:A17"/>
    <mergeCell ref="B13:B17"/>
    <mergeCell ref="E13:E17"/>
    <mergeCell ref="F13:F17"/>
    <mergeCell ref="G13:G17"/>
    <mergeCell ref="H2:J3"/>
    <mergeCell ref="K2:M3"/>
    <mergeCell ref="C4:C6"/>
    <mergeCell ref="D4:D6"/>
    <mergeCell ref="E4:E6"/>
    <mergeCell ref="F4:F6"/>
    <mergeCell ref="I4:J4"/>
    <mergeCell ref="L4:M4"/>
    <mergeCell ref="H5:H6"/>
    <mergeCell ref="I5:I6"/>
    <mergeCell ref="J5:J6"/>
    <mergeCell ref="K5:K6"/>
    <mergeCell ref="L5:L6"/>
    <mergeCell ref="M5:M6"/>
    <mergeCell ref="A2:A6"/>
    <mergeCell ref="B2:B6"/>
    <mergeCell ref="C2:D3"/>
    <mergeCell ref="E2:F3"/>
    <mergeCell ref="G2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0F0C-F3D1-4178-BBE1-925AD86EF1BA}">
  <dimension ref="B1:M10"/>
  <sheetViews>
    <sheetView workbookViewId="0">
      <selection activeCell="U4" sqref="U4"/>
    </sheetView>
  </sheetViews>
  <sheetFormatPr defaultRowHeight="15"/>
  <cols>
    <col min="2" max="2" width="13" customWidth="1"/>
  </cols>
  <sheetData>
    <row r="1" spans="2:13">
      <c r="B1" s="44"/>
      <c r="C1" s="44"/>
      <c r="D1" s="37"/>
      <c r="E1" s="37"/>
      <c r="F1" s="37"/>
      <c r="G1" s="37"/>
      <c r="H1" s="37"/>
      <c r="I1" s="37"/>
      <c r="J1" s="37"/>
      <c r="K1" s="55"/>
      <c r="L1" s="56"/>
      <c r="M1" s="57"/>
    </row>
    <row r="2" spans="2:13">
      <c r="B2" s="45"/>
      <c r="C2" s="45"/>
      <c r="D2" s="37"/>
      <c r="E2" s="37"/>
      <c r="F2" s="37"/>
      <c r="G2" s="37"/>
      <c r="H2" s="37"/>
      <c r="I2" s="37"/>
      <c r="J2" s="58"/>
      <c r="K2" s="61"/>
      <c r="L2" s="61"/>
      <c r="M2" s="61"/>
    </row>
    <row r="3" spans="2:13">
      <c r="B3" s="45"/>
      <c r="C3" s="45"/>
      <c r="D3" s="44"/>
      <c r="E3" s="44"/>
      <c r="F3" s="37"/>
      <c r="G3" s="37"/>
      <c r="H3" s="44"/>
      <c r="I3" s="44"/>
      <c r="J3" s="59"/>
      <c r="K3" s="62"/>
      <c r="L3" s="62"/>
      <c r="M3" s="62"/>
    </row>
    <row r="4" spans="2:13">
      <c r="B4" s="46"/>
      <c r="C4" s="46"/>
      <c r="D4" s="46"/>
      <c r="E4" s="46"/>
      <c r="F4" s="2"/>
      <c r="G4" s="2"/>
      <c r="H4" s="46"/>
      <c r="I4" s="46"/>
      <c r="J4" s="60"/>
      <c r="K4" s="63"/>
      <c r="L4" s="63"/>
      <c r="M4" s="63"/>
    </row>
    <row r="5" spans="2:13">
      <c r="B5" s="3"/>
      <c r="C5" s="3"/>
      <c r="D5" s="25"/>
      <c r="E5" s="3"/>
      <c r="F5" s="25"/>
      <c r="G5" s="3"/>
      <c r="H5" s="25"/>
      <c r="I5" s="3"/>
      <c r="J5" s="3"/>
      <c r="K5" s="27"/>
      <c r="L5" s="27"/>
      <c r="M5" s="27"/>
    </row>
    <row r="6" spans="2:13">
      <c r="B6" s="3"/>
      <c r="C6" s="3"/>
      <c r="D6" s="25"/>
      <c r="E6" s="3"/>
      <c r="F6" s="25"/>
      <c r="G6" s="3"/>
      <c r="H6" s="25"/>
      <c r="I6" s="3"/>
      <c r="J6" s="3"/>
      <c r="K6" s="27"/>
      <c r="L6" s="27"/>
      <c r="M6" s="27"/>
    </row>
    <row r="7" spans="2:13">
      <c r="B7" s="3"/>
      <c r="C7" s="3"/>
      <c r="D7" s="25"/>
      <c r="E7" s="3"/>
      <c r="F7" s="25"/>
      <c r="G7" s="3"/>
      <c r="H7" s="25"/>
      <c r="I7" s="3"/>
      <c r="J7" s="3"/>
      <c r="K7" s="27"/>
      <c r="L7" s="27"/>
      <c r="M7" s="27"/>
    </row>
    <row r="8" spans="2:13">
      <c r="B8" s="3"/>
      <c r="C8" s="3"/>
      <c r="D8" s="25"/>
      <c r="E8" s="3"/>
      <c r="F8" s="25"/>
      <c r="G8" s="3"/>
      <c r="H8" s="25"/>
      <c r="I8" s="3"/>
      <c r="J8" s="3"/>
      <c r="K8" s="27"/>
      <c r="L8" s="27"/>
      <c r="M8" s="27"/>
    </row>
    <row r="9" spans="2:13">
      <c r="B9" s="3"/>
      <c r="C9" s="3"/>
      <c r="D9" s="3"/>
      <c r="E9" s="3"/>
      <c r="F9" s="25"/>
      <c r="G9" s="3"/>
      <c r="H9" s="25"/>
      <c r="I9" s="3"/>
      <c r="J9" s="3"/>
      <c r="K9" s="27"/>
      <c r="L9" s="27"/>
      <c r="M9" s="27"/>
    </row>
    <row r="10" spans="2:13">
      <c r="B10" s="3"/>
      <c r="C10" s="3"/>
      <c r="D10" s="3"/>
      <c r="E10" s="3"/>
      <c r="F10" s="25"/>
      <c r="G10" s="3"/>
      <c r="H10" s="25"/>
      <c r="I10" s="3"/>
      <c r="J10" s="3"/>
      <c r="K10" s="27"/>
      <c r="L10" s="27"/>
      <c r="M10" s="27"/>
    </row>
  </sheetData>
  <mergeCells count="15">
    <mergeCell ref="B1:B4"/>
    <mergeCell ref="C1:C4"/>
    <mergeCell ref="D1:J1"/>
    <mergeCell ref="K1:M1"/>
    <mergeCell ref="D2:G2"/>
    <mergeCell ref="H2:I2"/>
    <mergeCell ref="J2:J4"/>
    <mergeCell ref="K2:K4"/>
    <mergeCell ref="L2:L4"/>
    <mergeCell ref="M2:M4"/>
    <mergeCell ref="D3:D4"/>
    <mergeCell ref="E3:E4"/>
    <mergeCell ref="F3:G3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KhoiLuongVanTai</vt:lpstr>
      <vt:lpstr>KeHoachVanChuyen</vt:lpstr>
      <vt:lpstr>DuKienTiLeTBBB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Nguyen Thi Thanh Huyen</cp:lastModifiedBy>
  <dcterms:created xsi:type="dcterms:W3CDTF">2025-12-02T15:26:00Z</dcterms:created>
  <dcterms:modified xsi:type="dcterms:W3CDTF">2026-03-09T17:55:32Z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EA5910DF0ACF4499B29763509B539F6C_12</vt:lpwstr>
  </property>
  <property fmtid="{D5CDD505-2E9C-101B-9397-08002B2CF9AE}" pid="3" name="KSOProductBuildVer">
    <vt:lpwstr>1033-12.2.0.23196</vt:lpwstr>
  </property>
</Properties>
</file>