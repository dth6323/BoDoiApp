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BA065825-CD10-400D-ADF0-FBFD964EAF7D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Sheet1" sheetId="18" r:id="rId1"/>
    <sheet name="Sheet2" sheetId="19" r:id="rId2"/>
    <sheet name="Sheet3" sheetId="20" r:id="rId3"/>
    <sheet name="Sheet4" sheetId="21" r:id="rId4"/>
    <sheet name="Sheet5" sheetId="2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22" l="1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O8" i="22"/>
  <c r="N8" i="22"/>
  <c r="M8" i="22"/>
  <c r="L8" i="22"/>
  <c r="K8" i="22"/>
  <c r="J8" i="22"/>
  <c r="I8" i="22"/>
  <c r="H8" i="22"/>
  <c r="G8" i="22"/>
  <c r="F8" i="22"/>
  <c r="E8" i="22"/>
  <c r="D8" i="22"/>
  <c r="C8" i="22"/>
  <c r="B8" i="22"/>
  <c r="O6" i="22"/>
  <c r="N6" i="22"/>
  <c r="M6" i="22"/>
  <c r="L6" i="22"/>
  <c r="K6" i="22"/>
  <c r="J6" i="22"/>
  <c r="I6" i="22"/>
  <c r="H6" i="22"/>
  <c r="G6" i="22"/>
  <c r="F6" i="22"/>
  <c r="E6" i="22"/>
  <c r="D6" i="22"/>
  <c r="C6" i="22"/>
  <c r="B6" i="22"/>
  <c r="O8" i="21"/>
  <c r="O10" i="21" s="1"/>
  <c r="N8" i="21"/>
  <c r="N10" i="21" s="1"/>
  <c r="M8" i="21"/>
  <c r="M10" i="21" s="1"/>
  <c r="L8" i="21"/>
  <c r="L10" i="21" s="1"/>
  <c r="K8" i="21"/>
  <c r="K10" i="21" s="1"/>
  <c r="I8" i="21"/>
  <c r="I10" i="21" s="1"/>
  <c r="H8" i="21"/>
  <c r="G8" i="21"/>
  <c r="G10" i="21" s="1"/>
  <c r="F8" i="21"/>
  <c r="F10" i="21" s="1"/>
  <c r="E8" i="21"/>
  <c r="D8" i="21"/>
  <c r="C8" i="21"/>
  <c r="B8" i="21"/>
  <c r="B10" i="21" s="1"/>
  <c r="O6" i="21"/>
  <c r="N6" i="21"/>
  <c r="M6" i="21"/>
  <c r="L6" i="21"/>
  <c r="K6" i="21"/>
  <c r="J6" i="21"/>
  <c r="J10" i="21" s="1"/>
  <c r="I6" i="21"/>
  <c r="H6" i="21"/>
  <c r="H10" i="21" s="1"/>
  <c r="G6" i="21"/>
  <c r="F6" i="21"/>
  <c r="E6" i="21"/>
  <c r="E10" i="21" s="1"/>
  <c r="D6" i="21"/>
  <c r="D10" i="21" s="1"/>
  <c r="C6" i="21"/>
  <c r="C10" i="21" s="1"/>
  <c r="B6" i="21"/>
  <c r="I11" i="20"/>
  <c r="H11" i="20"/>
  <c r="G11" i="20"/>
  <c r="F11" i="20"/>
  <c r="E11" i="20"/>
  <c r="D11" i="20"/>
  <c r="C11" i="20"/>
  <c r="B11" i="20"/>
  <c r="O8" i="20"/>
  <c r="O11" i="20" s="1"/>
  <c r="N8" i="20"/>
  <c r="N11" i="20" s="1"/>
  <c r="M8" i="20"/>
  <c r="M11" i="20" s="1"/>
  <c r="L8" i="20"/>
  <c r="L11" i="20" s="1"/>
  <c r="K8" i="20"/>
  <c r="K11" i="20" s="1"/>
  <c r="J8" i="20"/>
  <c r="J11" i="20" s="1"/>
  <c r="I8" i="20"/>
  <c r="H8" i="20"/>
  <c r="G8" i="20"/>
  <c r="F8" i="20"/>
  <c r="E8" i="20"/>
  <c r="D8" i="20"/>
  <c r="C8" i="20"/>
  <c r="B8" i="20"/>
  <c r="O6" i="20"/>
  <c r="N6" i="20"/>
  <c r="M6" i="20"/>
  <c r="L6" i="20"/>
  <c r="K6" i="20"/>
  <c r="J6" i="20"/>
  <c r="I6" i="20"/>
  <c r="O8" i="19"/>
  <c r="O19" i="19" s="1"/>
  <c r="N8" i="19"/>
  <c r="N19" i="19" s="1"/>
  <c r="M8" i="19"/>
  <c r="M19" i="19" s="1"/>
  <c r="L8" i="19"/>
  <c r="L19" i="19" s="1"/>
  <c r="K8" i="19"/>
  <c r="K19" i="19" s="1"/>
  <c r="J8" i="19"/>
  <c r="J19" i="19" s="1"/>
  <c r="I8" i="19"/>
  <c r="I19" i="19" s="1"/>
  <c r="H8" i="19"/>
  <c r="H19" i="19" s="1"/>
  <c r="G8" i="19"/>
  <c r="G19" i="19" s="1"/>
  <c r="F8" i="19"/>
  <c r="F19" i="19" s="1"/>
  <c r="E8" i="19"/>
  <c r="E19" i="19" s="1"/>
  <c r="D8" i="19"/>
  <c r="D19" i="19" s="1"/>
  <c r="C8" i="19"/>
  <c r="C19" i="19" s="1"/>
  <c r="B8" i="19"/>
  <c r="B19" i="19" s="1"/>
  <c r="O19" i="18"/>
  <c r="N19" i="18"/>
  <c r="M19" i="18"/>
  <c r="E19" i="18"/>
  <c r="D19" i="18"/>
  <c r="O8" i="18"/>
  <c r="N8" i="18"/>
  <c r="M8" i="18"/>
  <c r="L8" i="18"/>
  <c r="L19" i="18" s="1"/>
  <c r="K8" i="18"/>
  <c r="K19" i="18" s="1"/>
  <c r="J8" i="18"/>
  <c r="J19" i="18" s="1"/>
  <c r="I8" i="18"/>
  <c r="I19" i="18" s="1"/>
  <c r="H8" i="18"/>
  <c r="H19" i="18" s="1"/>
  <c r="G8" i="18"/>
  <c r="G19" i="18" s="1"/>
  <c r="F8" i="18"/>
  <c r="F19" i="18" s="1"/>
  <c r="E8" i="18"/>
  <c r="D8" i="18"/>
  <c r="C8" i="18"/>
  <c r="C19" i="18" s="1"/>
  <c r="B8" i="18"/>
  <c r="B19" i="18" s="1"/>
</calcChain>
</file>

<file path=xl/sharedStrings.xml><?xml version="1.0" encoding="utf-8"?>
<sst xmlns="http://schemas.openxmlformats.org/spreadsheetml/2006/main" count="143" uniqueCount="45">
  <si>
    <t>Tổng</t>
  </si>
  <si>
    <t>LỰC LƯỢNG</t>
  </si>
  <si>
    <t>QUÂN SỐ</t>
  </si>
  <si>
    <t>TRANG BỊ KỸ THUẬT</t>
  </si>
  <si>
    <t>VẬT TỰ KỸ THUẬT</t>
  </si>
  <si>
    <t>Vũ khí bộ binh</t>
  </si>
  <si>
    <t>Lựu đạn</t>
  </si>
  <si>
    <t>Cối</t>
  </si>
  <si>
    <t>PCT</t>
  </si>
  <si>
    <t>Pháo PK</t>
  </si>
  <si>
    <t>ON</t>
  </si>
  <si>
    <t>ĐB</t>
  </si>
  <si>
    <t>SN</t>
  </si>
  <si>
    <t>TL</t>
  </si>
  <si>
    <t>TrL</t>
  </si>
  <si>
    <t>ĐL</t>
  </si>
  <si>
    <t>B41, M79</t>
  </si>
  <si>
    <t>SPG9</t>
  </si>
  <si>
    <t>1. Trong biên chế</t>
  </si>
  <si>
    <t>cBB</t>
  </si>
  <si>
    <t>2. LL tăng cường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</si>
  <si>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</si>
  <si>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</si>
  <si>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</si>
  <si>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</si>
  <si>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</si>
  <si>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</si>
  <si>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</si>
  <si>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</si>
  <si>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</si>
  <si>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</si>
  <si>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</si>
  <si>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</si>
  <si>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</si>
  <si>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TỔ CHỨC BIÊN CHẾ, TRANG BỊ HƯỚNG THỨ YẾU</t>
  </si>
  <si>
    <t>1b cCO82/d</t>
  </si>
  <si>
    <t>Nuôi quân của cBB2</t>
  </si>
  <si>
    <t>TỔ CHỨC BIÊN CHẾ, TRANG BỊ LỰC LƯỢNG DỰ BỊ</t>
  </si>
  <si>
    <t>bBB9 (cBB3)</t>
  </si>
  <si>
    <t>Nuôi quân của bBB9</t>
  </si>
  <si>
    <t>TỔ CHỨC BIÊN CHẾ, TRANG BỊ LỰC LƯỢNG CÒN LẠI</t>
  </si>
  <si>
    <t>Lực lượng còn lại</t>
  </si>
  <si>
    <t>2. Lực lượng tăng cường</t>
  </si>
  <si>
    <t>1 ccO100/e</t>
  </si>
  <si>
    <t>1 aTT/e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</si>
</sst>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b/>
      <sz val="14"/>
      <color rgb="FFFF0000"/>
      <name val="Times New Roman"/>
      <family val="1"/>
      <charset val="163"/>
    </font>
    <font>
      <b/>
      <sz val="14"/>
      <color theme="1"/>
      <name val="#9Slide02 Tieu de rat dai 01"/>
      <charset val="163"/>
    </font>
    <font>
      <b/>
      <sz val="13"/>
      <color theme="1"/>
      <name val="#9Slide02 Tieu de rat dai 01"/>
      <charset val="163"/>
    </font>
    <font>
      <sz val="14"/>
      <color theme="1"/>
      <name val="#9Slide02 Tieu de rat dai 01"/>
      <charset val="163"/>
    </font>
    <font>
      <sz val="14"/>
      <color theme="1"/>
      <name val="Calibri"/>
      <family val="2"/>
      <charset val="163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3"/>
      <color theme="1"/>
      <name val="#9Slide02 Tieu de rat dai 01"/>
      <charset val="163"/>
    </font>
    <font>
      <sz val="14"/>
      <color theme="1"/>
      <name val="Times New Roman"/>
      <family val="1"/>
      <charset val="163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justify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0" fillId="0" borderId="0" xfId="0" applyFont="1"/>
    <xf numFmtId="0" fontId="10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562C6-0108-43A0-A041-4934A4F6C24B}">
  <dimension ref="A1:O19"/>
  <sheetViews>
    <sheetView workbookViewId="0">
      <selection sqref="A1:XFD1048576"/>
    </sheetView>
  </sheetViews>
  <sheetFormatPr defaultRowHeight="15"/>
  <cols>
    <col min="1" max="1" width="15.5703125" customWidth="1"/>
    <col min="14" max="14" width="13.140625" customWidth="1"/>
    <col min="15" max="15" width="14.140625" customWidth="1"/>
  </cols>
  <sheetData>
    <row r="1" spans="1:15">
      <c r="A1" s="15" t="s">
        <v>21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spans="1:15" ht="18" customHeight="1">
      <c r="A3" s="16" t="s">
        <v>1</v>
      </c>
      <c r="B3" s="16" t="s">
        <v>2</v>
      </c>
      <c r="C3" s="16" t="s">
        <v>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7" t="s">
        <v>4</v>
      </c>
      <c r="O3" s="17"/>
    </row>
    <row r="4" spans="1:15" ht="33">
      <c r="A4" s="16"/>
      <c r="B4" s="16"/>
      <c r="C4" s="16" t="s">
        <v>5</v>
      </c>
      <c r="D4" s="16"/>
      <c r="E4" s="16"/>
      <c r="F4" s="16"/>
      <c r="G4" s="16"/>
      <c r="H4" s="16" t="s">
        <v>6</v>
      </c>
      <c r="I4" s="16" t="s">
        <v>7</v>
      </c>
      <c r="J4" s="16"/>
      <c r="K4" s="16"/>
      <c r="L4" s="2" t="s">
        <v>8</v>
      </c>
      <c r="M4" s="2" t="s">
        <v>9</v>
      </c>
      <c r="N4" s="3" t="s">
        <v>10</v>
      </c>
      <c r="O4" s="3" t="s">
        <v>11</v>
      </c>
    </row>
    <row r="5" spans="1:15" ht="33">
      <c r="A5" s="16"/>
      <c r="B5" s="16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6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37.5">
      <c r="A6" s="5" t="s">
        <v>18</v>
      </c>
      <c r="B6" s="5">
        <v>546</v>
      </c>
      <c r="C6" s="5">
        <v>22</v>
      </c>
      <c r="D6" s="5">
        <v>289</v>
      </c>
      <c r="E6" s="5">
        <v>27</v>
      </c>
      <c r="F6" s="5">
        <v>6</v>
      </c>
      <c r="G6" s="5">
        <v>54</v>
      </c>
      <c r="H6" s="5">
        <v>1444</v>
      </c>
      <c r="I6" s="5">
        <v>6</v>
      </c>
      <c r="J6" s="5">
        <v>4</v>
      </c>
      <c r="K6" s="5">
        <v>0</v>
      </c>
      <c r="L6" s="5">
        <v>3</v>
      </c>
      <c r="M6" s="5">
        <v>3</v>
      </c>
      <c r="N6" s="5">
        <v>0</v>
      </c>
      <c r="O6" s="5">
        <v>0</v>
      </c>
    </row>
    <row r="7" spans="1:15" ht="18.75">
      <c r="A7" s="6" t="s">
        <v>22</v>
      </c>
      <c r="B7" s="7">
        <v>546</v>
      </c>
      <c r="C7" s="7">
        <v>22</v>
      </c>
      <c r="D7" s="7">
        <v>289</v>
      </c>
      <c r="E7" s="7">
        <v>27</v>
      </c>
      <c r="F7" s="7">
        <v>6</v>
      </c>
      <c r="G7" s="7">
        <v>54</v>
      </c>
      <c r="H7" s="7">
        <v>1444</v>
      </c>
      <c r="I7" s="7">
        <v>6</v>
      </c>
      <c r="J7" s="7">
        <v>4</v>
      </c>
      <c r="K7" s="7">
        <v>0</v>
      </c>
      <c r="L7" s="7">
        <v>3</v>
      </c>
      <c r="M7" s="7">
        <v>3</v>
      </c>
      <c r="N7" s="4"/>
      <c r="O7" s="4"/>
    </row>
    <row r="8" spans="1:15" ht="37.5">
      <c r="A8" s="5" t="s">
        <v>23</v>
      </c>
      <c r="B8" s="5">
        <f>SUM(B9:B18)</f>
        <v>335</v>
      </c>
      <c r="C8" s="5">
        <f t="shared" ref="C8:O8" si="0">SUM(C9:C18)</f>
        <v>14</v>
      </c>
      <c r="D8" s="5">
        <f t="shared" si="0"/>
        <v>150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629</v>
      </c>
      <c r="I8" s="5">
        <f t="shared" si="0"/>
        <v>0</v>
      </c>
      <c r="J8" s="5">
        <f t="shared" si="0"/>
        <v>0</v>
      </c>
      <c r="K8" s="5">
        <f t="shared" si="0"/>
        <v>4</v>
      </c>
      <c r="L8" s="5">
        <f t="shared" si="0"/>
        <v>6</v>
      </c>
      <c r="M8" s="5">
        <f t="shared" si="0"/>
        <v>6</v>
      </c>
      <c r="N8" s="5">
        <f t="shared" si="0"/>
        <v>0</v>
      </c>
      <c r="O8" s="5">
        <f t="shared" si="0"/>
        <v>0</v>
      </c>
    </row>
    <row r="9" spans="1:15" ht="18.75">
      <c r="A9" s="8" t="s">
        <v>24</v>
      </c>
      <c r="B9" s="7">
        <v>74</v>
      </c>
      <c r="C9" s="7">
        <v>4</v>
      </c>
      <c r="D9" s="7">
        <v>30</v>
      </c>
      <c r="E9" s="7"/>
      <c r="F9" s="7"/>
      <c r="G9" s="7"/>
      <c r="H9" s="7">
        <v>139</v>
      </c>
      <c r="I9" s="7"/>
      <c r="J9" s="7"/>
      <c r="K9" s="7">
        <v>4</v>
      </c>
      <c r="L9" s="7"/>
      <c r="M9" s="7"/>
      <c r="N9" s="4"/>
      <c r="O9" s="4"/>
    </row>
    <row r="10" spans="1:15" ht="18.75">
      <c r="A10" s="8" t="s">
        <v>25</v>
      </c>
      <c r="B10" s="7">
        <v>69</v>
      </c>
      <c r="C10" s="7">
        <v>4</v>
      </c>
      <c r="D10" s="7">
        <v>26</v>
      </c>
      <c r="E10" s="7"/>
      <c r="F10" s="7"/>
      <c r="G10" s="7"/>
      <c r="H10" s="7">
        <v>130</v>
      </c>
      <c r="I10" s="7"/>
      <c r="J10" s="7"/>
      <c r="K10" s="7"/>
      <c r="L10" s="7">
        <v>6</v>
      </c>
      <c r="M10" s="7"/>
      <c r="N10" s="4"/>
      <c r="O10" s="4"/>
    </row>
    <row r="11" spans="1:15" ht="37.5">
      <c r="A11" s="8" t="s">
        <v>26</v>
      </c>
      <c r="B11" s="7">
        <v>82</v>
      </c>
      <c r="C11" s="7">
        <v>4</v>
      </c>
      <c r="D11" s="7">
        <v>26</v>
      </c>
      <c r="E11" s="7"/>
      <c r="F11" s="7"/>
      <c r="G11" s="7"/>
      <c r="H11" s="7">
        <v>156</v>
      </c>
      <c r="I11" s="7"/>
      <c r="J11" s="7"/>
      <c r="K11" s="7"/>
      <c r="L11" s="7"/>
      <c r="M11" s="7">
        <v>6</v>
      </c>
      <c r="N11" s="4"/>
      <c r="O11" s="4"/>
    </row>
    <row r="12" spans="1:15" ht="18.75">
      <c r="A12" s="8" t="s">
        <v>27</v>
      </c>
      <c r="B12" s="7">
        <v>28</v>
      </c>
      <c r="C12" s="7"/>
      <c r="D12" s="7">
        <v>10</v>
      </c>
      <c r="E12" s="7"/>
      <c r="F12" s="7"/>
      <c r="G12" s="7"/>
      <c r="H12" s="7">
        <v>56</v>
      </c>
      <c r="I12" s="7"/>
      <c r="J12" s="7"/>
      <c r="K12" s="7"/>
      <c r="L12" s="7"/>
      <c r="M12" s="7"/>
      <c r="N12" s="4"/>
      <c r="O12" s="4"/>
    </row>
    <row r="13" spans="1:15" ht="18.75">
      <c r="A13" s="9" t="s">
        <v>28</v>
      </c>
      <c r="B13" s="10">
        <v>3</v>
      </c>
      <c r="C13" s="10"/>
      <c r="D13" s="10">
        <v>0</v>
      </c>
      <c r="E13" s="10"/>
      <c r="F13" s="10"/>
      <c r="G13" s="10"/>
      <c r="H13" s="10">
        <v>0</v>
      </c>
      <c r="I13" s="10"/>
      <c r="J13" s="10"/>
      <c r="K13" s="10"/>
      <c r="L13" s="10"/>
      <c r="M13" s="10"/>
      <c r="N13" s="4"/>
      <c r="O13" s="4"/>
    </row>
    <row r="14" spans="1:15" ht="18.75">
      <c r="A14" s="9" t="s">
        <v>29</v>
      </c>
      <c r="B14" s="10">
        <v>9</v>
      </c>
      <c r="C14" s="10"/>
      <c r="D14" s="10">
        <v>2</v>
      </c>
      <c r="E14" s="10"/>
      <c r="F14" s="10"/>
      <c r="G14" s="10"/>
      <c r="H14" s="10">
        <v>8</v>
      </c>
      <c r="I14" s="10"/>
      <c r="J14" s="10"/>
      <c r="K14" s="10"/>
      <c r="L14" s="10"/>
      <c r="M14" s="10"/>
      <c r="N14" s="4"/>
      <c r="O14" s="4"/>
    </row>
    <row r="15" spans="1:15" ht="18.75">
      <c r="A15" s="9" t="s">
        <v>30</v>
      </c>
      <c r="B15" s="10">
        <v>26</v>
      </c>
      <c r="C15" s="10">
        <v>2</v>
      </c>
      <c r="D15" s="10">
        <v>24</v>
      </c>
      <c r="E15" s="10"/>
      <c r="F15" s="10"/>
      <c r="G15" s="10"/>
      <c r="H15" s="10">
        <v>52</v>
      </c>
      <c r="I15" s="10"/>
      <c r="J15" s="10"/>
      <c r="K15" s="10"/>
      <c r="L15" s="10"/>
      <c r="M15" s="10"/>
      <c r="N15" s="4"/>
      <c r="O15" s="4"/>
    </row>
    <row r="16" spans="1:15" ht="18.75">
      <c r="A16" s="8" t="s">
        <v>31</v>
      </c>
      <c r="B16" s="7">
        <v>32</v>
      </c>
      <c r="C16" s="7"/>
      <c r="D16" s="7">
        <v>22</v>
      </c>
      <c r="E16" s="7"/>
      <c r="F16" s="7"/>
      <c r="G16" s="7"/>
      <c r="H16" s="7">
        <v>64</v>
      </c>
      <c r="I16" s="7"/>
      <c r="J16" s="7"/>
      <c r="K16" s="7"/>
      <c r="L16" s="7"/>
      <c r="M16" s="7"/>
      <c r="N16" s="4"/>
      <c r="O16" s="4"/>
    </row>
    <row r="17" spans="1:15" ht="18.75">
      <c r="A17" s="8" t="s">
        <v>32</v>
      </c>
      <c r="B17" s="7">
        <v>3</v>
      </c>
      <c r="C17" s="7"/>
      <c r="D17" s="7">
        <v>1</v>
      </c>
      <c r="E17" s="7"/>
      <c r="F17" s="7"/>
      <c r="G17" s="7"/>
      <c r="H17" s="7">
        <v>6</v>
      </c>
      <c r="I17" s="7"/>
      <c r="J17" s="7"/>
      <c r="K17" s="7"/>
      <c r="L17" s="7"/>
      <c r="M17" s="7"/>
      <c r="N17" s="4"/>
      <c r="O17" s="4"/>
    </row>
    <row r="18" spans="1:15" ht="18.75">
      <c r="A18" s="8" t="s">
        <v>33</v>
      </c>
      <c r="B18" s="7">
        <v>9</v>
      </c>
      <c r="C18" s="7"/>
      <c r="D18" s="7">
        <v>9</v>
      </c>
      <c r="E18" s="7"/>
      <c r="F18" s="7"/>
      <c r="G18" s="7"/>
      <c r="H18" s="7">
        <v>18</v>
      </c>
      <c r="I18" s="7"/>
      <c r="J18" s="7"/>
      <c r="K18" s="7"/>
      <c r="L18" s="7"/>
      <c r="M18" s="7"/>
      <c r="N18" s="4"/>
      <c r="O18" s="4"/>
    </row>
    <row r="19" spans="1:15" ht="18.75">
      <c r="A19" s="11" t="s">
        <v>0</v>
      </c>
      <c r="B19" s="1">
        <f t="shared" ref="B19:O19" si="1">B7+B8</f>
        <v>881</v>
      </c>
      <c r="C19" s="1">
        <f t="shared" si="1"/>
        <v>36</v>
      </c>
      <c r="D19" s="1">
        <f t="shared" si="1"/>
        <v>439</v>
      </c>
      <c r="E19" s="1">
        <f t="shared" si="1"/>
        <v>27</v>
      </c>
      <c r="F19" s="1">
        <f t="shared" si="1"/>
        <v>6</v>
      </c>
      <c r="G19" s="1">
        <f>G7+G8</f>
        <v>54</v>
      </c>
      <c r="H19" s="1">
        <f t="shared" si="1"/>
        <v>2073</v>
      </c>
      <c r="I19" s="1">
        <f t="shared" si="1"/>
        <v>6</v>
      </c>
      <c r="J19" s="1">
        <f t="shared" si="1"/>
        <v>4</v>
      </c>
      <c r="K19" s="1">
        <f t="shared" si="1"/>
        <v>4</v>
      </c>
      <c r="L19" s="1">
        <f t="shared" si="1"/>
        <v>9</v>
      </c>
      <c r="M19" s="1">
        <f t="shared" si="1"/>
        <v>9</v>
      </c>
      <c r="N19" s="1">
        <f t="shared" si="1"/>
        <v>0</v>
      </c>
      <c r="O19" s="1">
        <f t="shared" si="1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1F30C-1FF8-4713-9F95-98FAF47ADF4C}">
  <dimension ref="A1:O19"/>
  <sheetViews>
    <sheetView workbookViewId="0">
      <selection sqref="A1:XFD1048576"/>
    </sheetView>
  </sheetViews>
  <sheetFormatPr defaultRowHeight="15"/>
  <cols>
    <col min="1" max="1" width="15.5703125" customWidth="1"/>
    <col min="14" max="14" width="13.140625" customWidth="1"/>
    <col min="15" max="15" width="14.140625" customWidth="1"/>
  </cols>
  <sheetData>
    <row r="1" spans="1:15">
      <c r="A1" s="15" t="s">
        <v>21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spans="1:15" ht="16.5">
      <c r="A3" s="16" t="s">
        <v>1</v>
      </c>
      <c r="B3" s="16" t="s">
        <v>2</v>
      </c>
      <c r="C3" s="16" t="s">
        <v>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7" t="s">
        <v>4</v>
      </c>
      <c r="O3" s="17"/>
    </row>
    <row r="4" spans="1:15" ht="33">
      <c r="A4" s="16"/>
      <c r="B4" s="16"/>
      <c r="C4" s="16" t="s">
        <v>5</v>
      </c>
      <c r="D4" s="16"/>
      <c r="E4" s="16"/>
      <c r="F4" s="16"/>
      <c r="G4" s="16"/>
      <c r="H4" s="16" t="s">
        <v>6</v>
      </c>
      <c r="I4" s="16" t="s">
        <v>7</v>
      </c>
      <c r="J4" s="16"/>
      <c r="K4" s="16"/>
      <c r="L4" s="2" t="s">
        <v>8</v>
      </c>
      <c r="M4" s="2" t="s">
        <v>9</v>
      </c>
      <c r="N4" s="3" t="s">
        <v>10</v>
      </c>
      <c r="O4" s="3" t="s">
        <v>11</v>
      </c>
    </row>
    <row r="5" spans="1:15" ht="33">
      <c r="A5" s="16"/>
      <c r="B5" s="16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6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37.5">
      <c r="A6" s="5" t="s">
        <v>18</v>
      </c>
      <c r="B6" s="5">
        <v>546</v>
      </c>
      <c r="C6" s="5">
        <v>22</v>
      </c>
      <c r="D6" s="5">
        <v>289</v>
      </c>
      <c r="E6" s="5">
        <v>27</v>
      </c>
      <c r="F6" s="5">
        <v>6</v>
      </c>
      <c r="G6" s="5">
        <v>54</v>
      </c>
      <c r="H6" s="5">
        <v>1444</v>
      </c>
      <c r="I6" s="5">
        <v>6</v>
      </c>
      <c r="J6" s="5">
        <v>4</v>
      </c>
      <c r="K6" s="5">
        <v>0</v>
      </c>
      <c r="L6" s="5">
        <v>3</v>
      </c>
      <c r="M6" s="5">
        <v>3</v>
      </c>
      <c r="N6" s="5">
        <v>0</v>
      </c>
      <c r="O6" s="5">
        <v>0</v>
      </c>
    </row>
    <row r="7" spans="1:15" ht="18.75">
      <c r="A7" s="6" t="s">
        <v>22</v>
      </c>
      <c r="B7" s="7">
        <v>546</v>
      </c>
      <c r="C7" s="7">
        <v>22</v>
      </c>
      <c r="D7" s="7">
        <v>289</v>
      </c>
      <c r="E7" s="7">
        <v>27</v>
      </c>
      <c r="F7" s="7">
        <v>6</v>
      </c>
      <c r="G7" s="7">
        <v>54</v>
      </c>
      <c r="H7" s="7">
        <v>1444</v>
      </c>
      <c r="I7" s="7">
        <v>6</v>
      </c>
      <c r="J7" s="7">
        <v>4</v>
      </c>
      <c r="K7" s="7">
        <v>0</v>
      </c>
      <c r="L7" s="7">
        <v>3</v>
      </c>
      <c r="M7" s="7">
        <v>3</v>
      </c>
      <c r="N7" s="4"/>
      <c r="O7" s="4"/>
    </row>
    <row r="8" spans="1:15" ht="37.5">
      <c r="A8" s="5" t="s">
        <v>23</v>
      </c>
      <c r="B8" s="5">
        <f>SUM(B9:B18)</f>
        <v>335</v>
      </c>
      <c r="C8" s="5">
        <f t="shared" ref="C8:O8" si="0">SUM(C9:C18)</f>
        <v>14</v>
      </c>
      <c r="D8" s="5">
        <f t="shared" si="0"/>
        <v>150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629</v>
      </c>
      <c r="I8" s="5">
        <f t="shared" si="0"/>
        <v>0</v>
      </c>
      <c r="J8" s="5">
        <f t="shared" si="0"/>
        <v>0</v>
      </c>
      <c r="K8" s="5">
        <f t="shared" si="0"/>
        <v>4</v>
      </c>
      <c r="L8" s="5">
        <f t="shared" si="0"/>
        <v>6</v>
      </c>
      <c r="M8" s="5">
        <f t="shared" si="0"/>
        <v>6</v>
      </c>
      <c r="N8" s="5">
        <f t="shared" si="0"/>
        <v>0</v>
      </c>
      <c r="O8" s="5">
        <f t="shared" si="0"/>
        <v>0</v>
      </c>
    </row>
    <row r="9" spans="1:15" ht="18.75">
      <c r="A9" s="8" t="s">
        <v>24</v>
      </c>
      <c r="B9" s="7">
        <v>74</v>
      </c>
      <c r="C9" s="7">
        <v>4</v>
      </c>
      <c r="D9" s="7">
        <v>30</v>
      </c>
      <c r="E9" s="7"/>
      <c r="F9" s="7"/>
      <c r="G9" s="7"/>
      <c r="H9" s="7">
        <v>139</v>
      </c>
      <c r="I9" s="7"/>
      <c r="J9" s="7"/>
      <c r="K9" s="7">
        <v>4</v>
      </c>
      <c r="L9" s="7"/>
      <c r="M9" s="7"/>
      <c r="N9" s="4"/>
      <c r="O9" s="4"/>
    </row>
    <row r="10" spans="1:15" ht="18.75">
      <c r="A10" s="8" t="s">
        <v>25</v>
      </c>
      <c r="B10" s="7">
        <v>69</v>
      </c>
      <c r="C10" s="7">
        <v>4</v>
      </c>
      <c r="D10" s="7">
        <v>26</v>
      </c>
      <c r="E10" s="7"/>
      <c r="F10" s="7"/>
      <c r="G10" s="7"/>
      <c r="H10" s="7">
        <v>130</v>
      </c>
      <c r="I10" s="7"/>
      <c r="J10" s="7"/>
      <c r="K10" s="7"/>
      <c r="L10" s="7">
        <v>6</v>
      </c>
      <c r="M10" s="7"/>
      <c r="N10" s="4"/>
      <c r="O10" s="4"/>
    </row>
    <row r="11" spans="1:15" ht="37.5">
      <c r="A11" s="8" t="s">
        <v>26</v>
      </c>
      <c r="B11" s="7">
        <v>82</v>
      </c>
      <c r="C11" s="7">
        <v>4</v>
      </c>
      <c r="D11" s="7">
        <v>26</v>
      </c>
      <c r="E11" s="7"/>
      <c r="F11" s="7"/>
      <c r="G11" s="7"/>
      <c r="H11" s="7">
        <v>156</v>
      </c>
      <c r="I11" s="7"/>
      <c r="J11" s="7"/>
      <c r="K11" s="7"/>
      <c r="L11" s="7"/>
      <c r="M11" s="7">
        <v>6</v>
      </c>
      <c r="N11" s="4"/>
      <c r="O11" s="4"/>
    </row>
    <row r="12" spans="1:15" ht="18.75">
      <c r="A12" s="8" t="s">
        <v>27</v>
      </c>
      <c r="B12" s="7">
        <v>28</v>
      </c>
      <c r="C12" s="7"/>
      <c r="D12" s="7">
        <v>10</v>
      </c>
      <c r="E12" s="7"/>
      <c r="F12" s="7"/>
      <c r="G12" s="7"/>
      <c r="H12" s="7">
        <v>56</v>
      </c>
      <c r="I12" s="7"/>
      <c r="J12" s="7"/>
      <c r="K12" s="7"/>
      <c r="L12" s="7"/>
      <c r="M12" s="7"/>
      <c r="N12" s="4"/>
      <c r="O12" s="4"/>
    </row>
    <row r="13" spans="1:15" ht="18.75">
      <c r="A13" s="9" t="s">
        <v>28</v>
      </c>
      <c r="B13" s="10">
        <v>3</v>
      </c>
      <c r="C13" s="10"/>
      <c r="D13" s="10">
        <v>0</v>
      </c>
      <c r="E13" s="10"/>
      <c r="F13" s="10"/>
      <c r="G13" s="10"/>
      <c r="H13" s="10">
        <v>0</v>
      </c>
      <c r="I13" s="10"/>
      <c r="J13" s="10"/>
      <c r="K13" s="10"/>
      <c r="L13" s="10"/>
      <c r="M13" s="10"/>
      <c r="N13" s="4"/>
      <c r="O13" s="4"/>
    </row>
    <row r="14" spans="1:15" ht="18.75">
      <c r="A14" s="9" t="s">
        <v>29</v>
      </c>
      <c r="B14" s="10">
        <v>9</v>
      </c>
      <c r="C14" s="10"/>
      <c r="D14" s="10">
        <v>2</v>
      </c>
      <c r="E14" s="10"/>
      <c r="F14" s="10"/>
      <c r="G14" s="10"/>
      <c r="H14" s="10">
        <v>8</v>
      </c>
      <c r="I14" s="10"/>
      <c r="J14" s="10"/>
      <c r="K14" s="10"/>
      <c r="L14" s="10"/>
      <c r="M14" s="10"/>
      <c r="N14" s="4"/>
      <c r="O14" s="4"/>
    </row>
    <row r="15" spans="1:15" ht="18.75">
      <c r="A15" s="9" t="s">
        <v>30</v>
      </c>
      <c r="B15" s="10">
        <v>26</v>
      </c>
      <c r="C15" s="10">
        <v>2</v>
      </c>
      <c r="D15" s="10">
        <v>24</v>
      </c>
      <c r="E15" s="10"/>
      <c r="F15" s="10"/>
      <c r="G15" s="10"/>
      <c r="H15" s="10">
        <v>52</v>
      </c>
      <c r="I15" s="10"/>
      <c r="J15" s="10"/>
      <c r="K15" s="10"/>
      <c r="L15" s="10"/>
      <c r="M15" s="10"/>
      <c r="N15" s="4"/>
      <c r="O15" s="4"/>
    </row>
    <row r="16" spans="1:15" ht="18.75">
      <c r="A16" s="8" t="s">
        <v>31</v>
      </c>
      <c r="B16" s="7">
        <v>32</v>
      </c>
      <c r="C16" s="7"/>
      <c r="D16" s="7">
        <v>22</v>
      </c>
      <c r="E16" s="7"/>
      <c r="F16" s="7"/>
      <c r="G16" s="7"/>
      <c r="H16" s="7">
        <v>64</v>
      </c>
      <c r="I16" s="7"/>
      <c r="J16" s="7"/>
      <c r="K16" s="7"/>
      <c r="L16" s="7"/>
      <c r="M16" s="7"/>
      <c r="N16" s="4"/>
      <c r="O16" s="4"/>
    </row>
    <row r="17" spans="1:15" ht="18.75">
      <c r="A17" s="8" t="s">
        <v>32</v>
      </c>
      <c r="B17" s="7">
        <v>3</v>
      </c>
      <c r="C17" s="7"/>
      <c r="D17" s="7">
        <v>1</v>
      </c>
      <c r="E17" s="7"/>
      <c r="F17" s="7"/>
      <c r="G17" s="7"/>
      <c r="H17" s="7">
        <v>6</v>
      </c>
      <c r="I17" s="7"/>
      <c r="J17" s="7"/>
      <c r="K17" s="7"/>
      <c r="L17" s="7"/>
      <c r="M17" s="7"/>
      <c r="N17" s="4"/>
      <c r="O17" s="4"/>
    </row>
    <row r="18" spans="1:15" ht="18.75">
      <c r="A18" s="8" t="s">
        <v>33</v>
      </c>
      <c r="B18" s="7">
        <v>9</v>
      </c>
      <c r="C18" s="7"/>
      <c r="D18" s="7">
        <v>9</v>
      </c>
      <c r="E18" s="7"/>
      <c r="F18" s="7"/>
      <c r="G18" s="7"/>
      <c r="H18" s="7">
        <v>18</v>
      </c>
      <c r="I18" s="7"/>
      <c r="J18" s="7"/>
      <c r="K18" s="7"/>
      <c r="L18" s="7"/>
      <c r="M18" s="7"/>
      <c r="N18" s="4"/>
      <c r="O18" s="4"/>
    </row>
    <row r="19" spans="1:15" ht="18.75">
      <c r="A19" s="11" t="s">
        <v>0</v>
      </c>
      <c r="B19" s="1">
        <f t="shared" ref="B19:O19" si="1">B7+B8</f>
        <v>881</v>
      </c>
      <c r="C19" s="1">
        <f t="shared" si="1"/>
        <v>36</v>
      </c>
      <c r="D19" s="1">
        <f t="shared" si="1"/>
        <v>439</v>
      </c>
      <c r="E19" s="1">
        <f t="shared" si="1"/>
        <v>27</v>
      </c>
      <c r="F19" s="1">
        <f t="shared" si="1"/>
        <v>6</v>
      </c>
      <c r="G19" s="1">
        <f>G7+G8</f>
        <v>54</v>
      </c>
      <c r="H19" s="1">
        <f t="shared" si="1"/>
        <v>2073</v>
      </c>
      <c r="I19" s="1">
        <f t="shared" si="1"/>
        <v>6</v>
      </c>
      <c r="J19" s="1">
        <f t="shared" si="1"/>
        <v>4</v>
      </c>
      <c r="K19" s="1">
        <f t="shared" si="1"/>
        <v>4</v>
      </c>
      <c r="L19" s="1">
        <f t="shared" si="1"/>
        <v>9</v>
      </c>
      <c r="M19" s="1">
        <f t="shared" si="1"/>
        <v>9</v>
      </c>
      <c r="N19" s="1">
        <f t="shared" si="1"/>
        <v>0</v>
      </c>
      <c r="O19" s="1">
        <f t="shared" si="1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97BB-3A94-433C-802C-E70C23C01D1C}">
  <dimension ref="A1:O11"/>
  <sheetViews>
    <sheetView workbookViewId="0">
      <selection sqref="A1:XFD1048576"/>
    </sheetView>
  </sheetViews>
  <sheetFormatPr defaultRowHeight="15"/>
  <cols>
    <col min="1" max="1" width="16.42578125" customWidth="1"/>
    <col min="14" max="14" width="11.7109375" customWidth="1"/>
    <col min="15" max="15" width="14.85546875" customWidth="1"/>
  </cols>
  <sheetData>
    <row r="1" spans="1:15">
      <c r="A1" s="15" t="s">
        <v>34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spans="1:15" ht="18">
      <c r="A3" s="16" t="s">
        <v>1</v>
      </c>
      <c r="B3" s="16" t="s">
        <v>2</v>
      </c>
      <c r="C3" s="16" t="s">
        <v>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8" t="s">
        <v>4</v>
      </c>
      <c r="O3" s="18"/>
    </row>
    <row r="4" spans="1:15" ht="33">
      <c r="A4" s="16"/>
      <c r="B4" s="16"/>
      <c r="C4" s="16" t="s">
        <v>5</v>
      </c>
      <c r="D4" s="16"/>
      <c r="E4" s="16"/>
      <c r="F4" s="16"/>
      <c r="G4" s="16"/>
      <c r="H4" s="16" t="s">
        <v>6</v>
      </c>
      <c r="I4" s="16" t="s">
        <v>7</v>
      </c>
      <c r="J4" s="16"/>
      <c r="K4" s="16"/>
      <c r="L4" s="2" t="s">
        <v>8</v>
      </c>
      <c r="M4" s="2" t="s">
        <v>9</v>
      </c>
      <c r="N4" s="3" t="s">
        <v>10</v>
      </c>
      <c r="O4" s="3" t="s">
        <v>11</v>
      </c>
    </row>
    <row r="5" spans="1:15" ht="33">
      <c r="A5" s="16"/>
      <c r="B5" s="16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6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37.5">
      <c r="A6" s="5" t="s">
        <v>18</v>
      </c>
      <c r="B6" s="5">
        <v>111</v>
      </c>
      <c r="C6" s="5">
        <v>4</v>
      </c>
      <c r="D6" s="5">
        <v>68</v>
      </c>
      <c r="E6" s="5">
        <v>9</v>
      </c>
      <c r="F6" s="5">
        <v>2</v>
      </c>
      <c r="G6" s="5">
        <v>18</v>
      </c>
      <c r="H6" s="5">
        <v>346</v>
      </c>
      <c r="I6" s="5">
        <f>I7</f>
        <v>2</v>
      </c>
      <c r="J6" s="5">
        <f t="shared" ref="J6:O6" si="0">J7</f>
        <v>0</v>
      </c>
      <c r="K6" s="5">
        <f t="shared" si="0"/>
        <v>0</v>
      </c>
      <c r="L6" s="5">
        <f t="shared" si="0"/>
        <v>0</v>
      </c>
      <c r="M6" s="5">
        <f t="shared" si="0"/>
        <v>0</v>
      </c>
      <c r="N6" s="5">
        <f t="shared" si="0"/>
        <v>0</v>
      </c>
      <c r="O6" s="5">
        <f t="shared" si="0"/>
        <v>0</v>
      </c>
    </row>
    <row r="7" spans="1:15" ht="18.75">
      <c r="A7" s="6" t="s">
        <v>19</v>
      </c>
      <c r="B7" s="7">
        <v>111</v>
      </c>
      <c r="C7" s="7">
        <v>4</v>
      </c>
      <c r="D7" s="7">
        <v>68</v>
      </c>
      <c r="E7" s="7">
        <v>9</v>
      </c>
      <c r="F7" s="7">
        <v>2</v>
      </c>
      <c r="G7" s="7">
        <v>18</v>
      </c>
      <c r="H7" s="7">
        <v>346</v>
      </c>
      <c r="I7" s="7">
        <v>2</v>
      </c>
      <c r="J7" s="7">
        <v>0</v>
      </c>
      <c r="K7" s="7">
        <v>0</v>
      </c>
      <c r="L7" s="7">
        <v>0</v>
      </c>
      <c r="M7" s="7">
        <v>0</v>
      </c>
      <c r="N7" s="4">
        <v>0</v>
      </c>
      <c r="O7" s="4">
        <v>0</v>
      </c>
    </row>
    <row r="8" spans="1:15" ht="37.5">
      <c r="A8" s="5" t="s">
        <v>20</v>
      </c>
      <c r="B8" s="5">
        <f>SUM(B9:B10)</f>
        <v>22</v>
      </c>
      <c r="C8" s="5">
        <f t="shared" ref="C8:O8" si="1">SUM(C9:C10)</f>
        <v>0</v>
      </c>
      <c r="D8" s="5">
        <f t="shared" si="1"/>
        <v>7</v>
      </c>
      <c r="E8" s="5">
        <f t="shared" si="1"/>
        <v>0</v>
      </c>
      <c r="F8" s="5">
        <f t="shared" si="1"/>
        <v>0</v>
      </c>
      <c r="G8" s="5">
        <f t="shared" si="1"/>
        <v>0</v>
      </c>
      <c r="H8" s="5">
        <f t="shared" si="1"/>
        <v>44</v>
      </c>
      <c r="I8" s="5">
        <f t="shared" si="1"/>
        <v>0</v>
      </c>
      <c r="J8" s="5">
        <f t="shared" si="1"/>
        <v>1</v>
      </c>
      <c r="K8" s="5">
        <f t="shared" si="1"/>
        <v>0</v>
      </c>
      <c r="L8" s="5">
        <f t="shared" si="1"/>
        <v>0</v>
      </c>
      <c r="M8" s="5">
        <f t="shared" si="1"/>
        <v>0</v>
      </c>
      <c r="N8" s="5">
        <f t="shared" si="1"/>
        <v>0</v>
      </c>
      <c r="O8" s="5">
        <f t="shared" si="1"/>
        <v>0</v>
      </c>
    </row>
    <row r="9" spans="1:15" ht="18.75">
      <c r="A9" s="8" t="s">
        <v>35</v>
      </c>
      <c r="B9" s="7">
        <v>17</v>
      </c>
      <c r="C9" s="7"/>
      <c r="D9" s="7">
        <v>5</v>
      </c>
      <c r="E9" s="7"/>
      <c r="F9" s="7"/>
      <c r="G9" s="7"/>
      <c r="H9" s="7">
        <v>32</v>
      </c>
      <c r="I9" s="7"/>
      <c r="J9" s="7">
        <v>1</v>
      </c>
      <c r="K9" s="7"/>
      <c r="L9" s="7"/>
      <c r="M9" s="7"/>
      <c r="N9" s="4"/>
      <c r="O9" s="4"/>
    </row>
    <row r="10" spans="1:15" ht="18.75">
      <c r="A10" s="12" t="s">
        <v>36</v>
      </c>
      <c r="B10" s="13">
        <v>5</v>
      </c>
      <c r="C10" s="13"/>
      <c r="D10" s="13">
        <v>2</v>
      </c>
      <c r="E10" s="13"/>
      <c r="F10" s="13"/>
      <c r="G10" s="13"/>
      <c r="H10" s="13">
        <v>12</v>
      </c>
      <c r="I10" s="13"/>
      <c r="J10" s="13"/>
      <c r="K10" s="13"/>
      <c r="L10" s="13"/>
      <c r="M10" s="13"/>
      <c r="N10" s="13"/>
      <c r="O10" s="13"/>
    </row>
    <row r="11" spans="1:15" ht="18.75">
      <c r="A11" s="11" t="s">
        <v>0</v>
      </c>
      <c r="B11" s="1">
        <f t="shared" ref="B11:O11" si="2">B7+B8</f>
        <v>133</v>
      </c>
      <c r="C11" s="1">
        <f t="shared" si="2"/>
        <v>4</v>
      </c>
      <c r="D11" s="1">
        <f t="shared" si="2"/>
        <v>75</v>
      </c>
      <c r="E11" s="1">
        <f t="shared" si="2"/>
        <v>9</v>
      </c>
      <c r="F11" s="1">
        <f t="shared" si="2"/>
        <v>2</v>
      </c>
      <c r="G11" s="1">
        <f t="shared" si="2"/>
        <v>18</v>
      </c>
      <c r="H11" s="1">
        <f t="shared" si="2"/>
        <v>390</v>
      </c>
      <c r="I11" s="1">
        <f t="shared" si="2"/>
        <v>2</v>
      </c>
      <c r="J11" s="1">
        <f t="shared" si="2"/>
        <v>1</v>
      </c>
      <c r="K11" s="1">
        <f t="shared" si="2"/>
        <v>0</v>
      </c>
      <c r="L11" s="1">
        <f t="shared" si="2"/>
        <v>0</v>
      </c>
      <c r="M11" s="1">
        <f t="shared" si="2"/>
        <v>0</v>
      </c>
      <c r="N11" s="1">
        <f t="shared" si="2"/>
        <v>0</v>
      </c>
      <c r="O11" s="1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0AF2B-1A2E-4A17-84DD-83DCE7B22583}">
  <dimension ref="A1:O10"/>
  <sheetViews>
    <sheetView workbookViewId="0">
      <selection sqref="A1:XFD1048576"/>
    </sheetView>
  </sheetViews>
  <sheetFormatPr defaultRowHeight="15"/>
  <cols>
    <col min="1" max="1" width="16.140625" customWidth="1"/>
    <col min="14" max="14" width="14.140625" customWidth="1"/>
    <col min="15" max="15" width="15.140625" customWidth="1"/>
  </cols>
  <sheetData>
    <row r="1" spans="1:15">
      <c r="A1" s="15" t="s">
        <v>37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spans="1:15" ht="18">
      <c r="A3" s="16" t="s">
        <v>1</v>
      </c>
      <c r="B3" s="16" t="s">
        <v>2</v>
      </c>
      <c r="C3" s="16" t="s">
        <v>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8" t="s">
        <v>4</v>
      </c>
      <c r="O3" s="18"/>
    </row>
    <row r="4" spans="1:15" ht="33">
      <c r="A4" s="16"/>
      <c r="B4" s="16"/>
      <c r="C4" s="16" t="s">
        <v>5</v>
      </c>
      <c r="D4" s="16"/>
      <c r="E4" s="16"/>
      <c r="F4" s="16"/>
      <c r="G4" s="16"/>
      <c r="H4" s="16" t="s">
        <v>6</v>
      </c>
      <c r="I4" s="16" t="s">
        <v>7</v>
      </c>
      <c r="J4" s="16"/>
      <c r="K4" s="16"/>
      <c r="L4" s="2" t="s">
        <v>8</v>
      </c>
      <c r="M4" s="2" t="s">
        <v>9</v>
      </c>
      <c r="N4" s="3" t="s">
        <v>10</v>
      </c>
      <c r="O4" s="3" t="s">
        <v>11</v>
      </c>
    </row>
    <row r="5" spans="1:15" ht="33">
      <c r="A5" s="16"/>
      <c r="B5" s="16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6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37.5">
      <c r="A6" s="5" t="s">
        <v>18</v>
      </c>
      <c r="B6" s="5">
        <f>B7</f>
        <v>29</v>
      </c>
      <c r="C6" s="5">
        <f t="shared" ref="C6:O6" si="0">C7</f>
        <v>0</v>
      </c>
      <c r="D6" s="5">
        <f t="shared" si="0"/>
        <v>20</v>
      </c>
      <c r="E6" s="5">
        <f t="shared" si="0"/>
        <v>3</v>
      </c>
      <c r="F6" s="5">
        <f t="shared" si="0"/>
        <v>0</v>
      </c>
      <c r="G6" s="5">
        <f t="shared" si="0"/>
        <v>6</v>
      </c>
      <c r="H6" s="5">
        <f t="shared" si="0"/>
        <v>102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0</v>
      </c>
      <c r="M6" s="5">
        <f t="shared" si="0"/>
        <v>0</v>
      </c>
      <c r="N6" s="5">
        <f t="shared" si="0"/>
        <v>0</v>
      </c>
      <c r="O6" s="5">
        <f t="shared" si="0"/>
        <v>0</v>
      </c>
    </row>
    <row r="7" spans="1:15" ht="18.75">
      <c r="A7" s="6" t="s">
        <v>38</v>
      </c>
      <c r="B7" s="7">
        <v>29</v>
      </c>
      <c r="C7" s="7">
        <v>0</v>
      </c>
      <c r="D7" s="7">
        <v>20</v>
      </c>
      <c r="E7" s="7">
        <v>3</v>
      </c>
      <c r="F7" s="7"/>
      <c r="G7" s="7">
        <v>6</v>
      </c>
      <c r="H7" s="7">
        <v>102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4"/>
      <c r="O7" s="4"/>
    </row>
    <row r="8" spans="1:15" ht="37.5">
      <c r="A8" s="5" t="s">
        <v>20</v>
      </c>
      <c r="B8" s="5">
        <f t="shared" ref="B8:I8" si="1">SUM(B9:B9)</f>
        <v>1</v>
      </c>
      <c r="C8" s="5">
        <f t="shared" si="1"/>
        <v>0</v>
      </c>
      <c r="D8" s="5">
        <f t="shared" si="1"/>
        <v>0</v>
      </c>
      <c r="E8" s="5">
        <f t="shared" si="1"/>
        <v>0</v>
      </c>
      <c r="F8" s="5">
        <f t="shared" si="1"/>
        <v>0</v>
      </c>
      <c r="G8" s="5">
        <f t="shared" si="1"/>
        <v>0</v>
      </c>
      <c r="H8" s="5">
        <f t="shared" si="1"/>
        <v>0</v>
      </c>
      <c r="I8" s="5">
        <f t="shared" si="1"/>
        <v>0</v>
      </c>
      <c r="J8" s="5">
        <v>0</v>
      </c>
      <c r="K8" s="5">
        <f>SUM(K9:K9)</f>
        <v>0</v>
      </c>
      <c r="L8" s="5">
        <f>SUM(L9:L9)</f>
        <v>0</v>
      </c>
      <c r="M8" s="5">
        <f>SUM(M9:M9)</f>
        <v>0</v>
      </c>
      <c r="N8" s="5">
        <f>SUM(N9:N9)</f>
        <v>0</v>
      </c>
      <c r="O8" s="5">
        <f>SUM(O9:O9)</f>
        <v>0</v>
      </c>
    </row>
    <row r="9" spans="1:15" ht="37.5">
      <c r="A9" s="8" t="s">
        <v>39</v>
      </c>
      <c r="B9" s="7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4"/>
      <c r="O9" s="4"/>
    </row>
    <row r="10" spans="1:15" ht="18.75">
      <c r="A10" s="11" t="s">
        <v>0</v>
      </c>
      <c r="B10" s="1">
        <f>B8+B6</f>
        <v>30</v>
      </c>
      <c r="C10" s="1">
        <f t="shared" ref="C10:O10" si="2">C8+C6</f>
        <v>0</v>
      </c>
      <c r="D10" s="1">
        <f t="shared" si="2"/>
        <v>20</v>
      </c>
      <c r="E10" s="1">
        <f t="shared" si="2"/>
        <v>3</v>
      </c>
      <c r="F10" s="1">
        <f t="shared" si="2"/>
        <v>0</v>
      </c>
      <c r="G10" s="1">
        <f t="shared" si="2"/>
        <v>6</v>
      </c>
      <c r="H10" s="1">
        <f t="shared" si="2"/>
        <v>102</v>
      </c>
      <c r="I10" s="1">
        <f t="shared" si="2"/>
        <v>0</v>
      </c>
      <c r="J10" s="1">
        <f t="shared" si="2"/>
        <v>0</v>
      </c>
      <c r="K10" s="1">
        <f t="shared" si="2"/>
        <v>0</v>
      </c>
      <c r="L10" s="1">
        <f t="shared" si="2"/>
        <v>0</v>
      </c>
      <c r="M10" s="1">
        <f t="shared" si="2"/>
        <v>0</v>
      </c>
      <c r="N10" s="1">
        <f t="shared" si="2"/>
        <v>0</v>
      </c>
      <c r="O10" s="1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7EAC4-3B97-4E40-A163-90768A7E0057}">
  <dimension ref="A1:O19"/>
  <sheetViews>
    <sheetView tabSelected="1" workbookViewId="0">
      <selection activeCell="R7" sqref="R7"/>
    </sheetView>
  </sheetViews>
  <sheetFormatPr defaultRowHeight="15"/>
  <cols>
    <col min="1" max="1" width="14.140625" customWidth="1"/>
    <col min="2" max="2" width="12.7109375" customWidth="1"/>
    <col min="14" max="15" width="15.140625" customWidth="1"/>
  </cols>
  <sheetData>
    <row r="1" spans="1:15">
      <c r="A1" s="15" t="s">
        <v>40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1:1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</row>
    <row r="3" spans="1:15" ht="18">
      <c r="A3" s="16" t="s">
        <v>1</v>
      </c>
      <c r="B3" s="16" t="s">
        <v>2</v>
      </c>
      <c r="C3" s="16" t="s">
        <v>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8" t="s">
        <v>4</v>
      </c>
      <c r="O3" s="18"/>
    </row>
    <row r="4" spans="1:15" ht="33">
      <c r="A4" s="16"/>
      <c r="B4" s="16"/>
      <c r="C4" s="16" t="s">
        <v>5</v>
      </c>
      <c r="D4" s="16"/>
      <c r="E4" s="16"/>
      <c r="F4" s="16"/>
      <c r="G4" s="16"/>
      <c r="H4" s="16" t="s">
        <v>6</v>
      </c>
      <c r="I4" s="16" t="s">
        <v>7</v>
      </c>
      <c r="J4" s="16"/>
      <c r="K4" s="16"/>
      <c r="L4" s="2" t="s">
        <v>8</v>
      </c>
      <c r="M4" s="2" t="s">
        <v>9</v>
      </c>
      <c r="N4" s="3" t="s">
        <v>10</v>
      </c>
      <c r="O4" s="3" t="s">
        <v>11</v>
      </c>
    </row>
    <row r="5" spans="1:15" ht="33">
      <c r="A5" s="16"/>
      <c r="B5" s="16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6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37.5">
      <c r="A6" s="5" t="s">
        <v>18</v>
      </c>
      <c r="B6" s="5">
        <f>B7</f>
        <v>0</v>
      </c>
      <c r="C6" s="5">
        <f>C7</f>
        <v>0</v>
      </c>
      <c r="D6" s="5">
        <f t="shared" ref="D6:O6" si="0">D7</f>
        <v>0</v>
      </c>
      <c r="E6" s="5">
        <f t="shared" si="0"/>
        <v>0</v>
      </c>
      <c r="F6" s="5">
        <f t="shared" si="0"/>
        <v>0</v>
      </c>
      <c r="G6" s="5">
        <f t="shared" si="0"/>
        <v>0</v>
      </c>
      <c r="H6" s="5">
        <f t="shared" si="0"/>
        <v>0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0</v>
      </c>
      <c r="M6" s="5">
        <f t="shared" si="0"/>
        <v>0</v>
      </c>
      <c r="N6" s="5">
        <f t="shared" si="0"/>
        <v>0</v>
      </c>
      <c r="O6" s="5">
        <f t="shared" si="0"/>
        <v>0</v>
      </c>
    </row>
    <row r="7" spans="1:15" ht="37.5">
      <c r="A7" s="14" t="s">
        <v>41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</row>
    <row r="8" spans="1:15" ht="75">
      <c r="A8" s="5" t="s">
        <v>42</v>
      </c>
      <c r="B8" s="5">
        <f>SUM(B9:B18)</f>
        <v>335</v>
      </c>
      <c r="C8" s="5">
        <f t="shared" ref="C8:O8" si="1">SUM(C9:C18)</f>
        <v>14</v>
      </c>
      <c r="D8" s="5">
        <f t="shared" si="1"/>
        <v>150</v>
      </c>
      <c r="E8" s="5">
        <f t="shared" si="1"/>
        <v>0</v>
      </c>
      <c r="F8" s="5">
        <f t="shared" si="1"/>
        <v>0</v>
      </c>
      <c r="G8" s="5">
        <f t="shared" si="1"/>
        <v>0</v>
      </c>
      <c r="H8" s="5">
        <f t="shared" si="1"/>
        <v>629</v>
      </c>
      <c r="I8" s="5">
        <f t="shared" si="1"/>
        <v>0</v>
      </c>
      <c r="J8" s="5">
        <f t="shared" si="1"/>
        <v>0</v>
      </c>
      <c r="K8" s="5">
        <f t="shared" si="1"/>
        <v>4</v>
      </c>
      <c r="L8" s="5">
        <f t="shared" si="1"/>
        <v>6</v>
      </c>
      <c r="M8" s="5">
        <f t="shared" si="1"/>
        <v>6</v>
      </c>
      <c r="N8" s="5">
        <f t="shared" si="1"/>
        <v>0</v>
      </c>
      <c r="O8" s="5">
        <f t="shared" si="1"/>
        <v>0</v>
      </c>
    </row>
    <row r="9" spans="1:15" ht="18.75">
      <c r="A9" s="8" t="s">
        <v>43</v>
      </c>
      <c r="B9" s="7">
        <v>74</v>
      </c>
      <c r="C9" s="7">
        <v>4</v>
      </c>
      <c r="D9" s="7">
        <v>30</v>
      </c>
      <c r="E9" s="7"/>
      <c r="F9" s="7"/>
      <c r="G9" s="7"/>
      <c r="H9" s="7">
        <v>139</v>
      </c>
      <c r="I9" s="7"/>
      <c r="J9" s="7"/>
      <c r="K9" s="7">
        <v>4</v>
      </c>
      <c r="L9" s="7"/>
      <c r="M9" s="7"/>
      <c r="N9" s="4"/>
      <c r="O9" s="4"/>
    </row>
    <row r="10" spans="1:15" ht="18.75">
      <c r="A10" s="8" t="s">
        <v>25</v>
      </c>
      <c r="B10" s="7">
        <v>69</v>
      </c>
      <c r="C10" s="7">
        <v>4</v>
      </c>
      <c r="D10" s="7">
        <v>26</v>
      </c>
      <c r="E10" s="7"/>
      <c r="F10" s="7"/>
      <c r="G10" s="7"/>
      <c r="H10" s="7">
        <v>130</v>
      </c>
      <c r="I10" s="7"/>
      <c r="J10" s="7"/>
      <c r="K10" s="7"/>
      <c r="L10" s="7">
        <v>6</v>
      </c>
      <c r="M10" s="7"/>
      <c r="N10" s="4"/>
      <c r="O10" s="4"/>
    </row>
    <row r="11" spans="1:15" ht="37.5">
      <c r="A11" s="8" t="s">
        <v>26</v>
      </c>
      <c r="B11" s="7">
        <v>82</v>
      </c>
      <c r="C11" s="7">
        <v>4</v>
      </c>
      <c r="D11" s="7">
        <v>26</v>
      </c>
      <c r="E11" s="7"/>
      <c r="F11" s="7"/>
      <c r="G11" s="7"/>
      <c r="H11" s="7">
        <v>156</v>
      </c>
      <c r="I11" s="7"/>
      <c r="J11" s="7"/>
      <c r="K11" s="7"/>
      <c r="L11" s="7"/>
      <c r="M11" s="7">
        <v>6</v>
      </c>
      <c r="N11" s="4"/>
      <c r="O11" s="4"/>
    </row>
    <row r="12" spans="1:15" ht="18.75">
      <c r="A12" s="8" t="s">
        <v>27</v>
      </c>
      <c r="B12" s="7">
        <v>28</v>
      </c>
      <c r="C12" s="7"/>
      <c r="D12" s="7">
        <v>10</v>
      </c>
      <c r="E12" s="7"/>
      <c r="F12" s="7"/>
      <c r="G12" s="7"/>
      <c r="H12" s="7">
        <v>56</v>
      </c>
      <c r="I12" s="7"/>
      <c r="J12" s="7"/>
      <c r="K12" s="7"/>
      <c r="L12" s="7"/>
      <c r="M12" s="7"/>
      <c r="N12" s="4"/>
      <c r="O12" s="4"/>
    </row>
    <row r="13" spans="1:15" ht="18.75">
      <c r="A13" s="9" t="s">
        <v>28</v>
      </c>
      <c r="B13" s="10">
        <v>3</v>
      </c>
      <c r="C13" s="10"/>
      <c r="D13" s="10">
        <v>0</v>
      </c>
      <c r="E13" s="10"/>
      <c r="F13" s="10"/>
      <c r="G13" s="10"/>
      <c r="H13" s="10">
        <v>0</v>
      </c>
      <c r="I13" s="10"/>
      <c r="J13" s="10"/>
      <c r="K13" s="10"/>
      <c r="L13" s="10"/>
      <c r="M13" s="10"/>
      <c r="N13" s="4"/>
      <c r="O13" s="4"/>
    </row>
    <row r="14" spans="1:15" ht="18.75">
      <c r="A14" s="9" t="s">
        <v>29</v>
      </c>
      <c r="B14" s="10">
        <v>9</v>
      </c>
      <c r="C14" s="10"/>
      <c r="D14" s="10">
        <v>2</v>
      </c>
      <c r="E14" s="10"/>
      <c r="F14" s="10"/>
      <c r="G14" s="10"/>
      <c r="H14" s="10">
        <v>8</v>
      </c>
      <c r="I14" s="10"/>
      <c r="J14" s="10"/>
      <c r="K14" s="10"/>
      <c r="L14" s="10"/>
      <c r="M14" s="10"/>
      <c r="N14" s="4"/>
      <c r="O14" s="4"/>
    </row>
    <row r="15" spans="1:15" ht="18.75">
      <c r="A15" s="9" t="s">
        <v>30</v>
      </c>
      <c r="B15" s="10">
        <v>26</v>
      </c>
      <c r="C15" s="10">
        <v>2</v>
      </c>
      <c r="D15" s="10">
        <v>24</v>
      </c>
      <c r="E15" s="10"/>
      <c r="F15" s="10"/>
      <c r="G15" s="10"/>
      <c r="H15" s="10">
        <v>52</v>
      </c>
      <c r="I15" s="10"/>
      <c r="J15" s="10"/>
      <c r="K15" s="10"/>
      <c r="L15" s="10"/>
      <c r="M15" s="10"/>
      <c r="N15" s="4"/>
      <c r="O15" s="4"/>
    </row>
    <row r="16" spans="1:15" ht="18.75">
      <c r="A16" s="8" t="s">
        <v>31</v>
      </c>
      <c r="B16" s="7">
        <v>32</v>
      </c>
      <c r="C16" s="7"/>
      <c r="D16" s="7">
        <v>22</v>
      </c>
      <c r="E16" s="7"/>
      <c r="F16" s="7"/>
      <c r="G16" s="7"/>
      <c r="H16" s="7">
        <v>64</v>
      </c>
      <c r="I16" s="7"/>
      <c r="J16" s="7"/>
      <c r="K16" s="7"/>
      <c r="L16" s="7"/>
      <c r="M16" s="7"/>
      <c r="N16" s="4"/>
      <c r="O16" s="4"/>
    </row>
    <row r="17" spans="1:15" ht="18.75">
      <c r="A17" s="8" t="s">
        <v>32</v>
      </c>
      <c r="B17" s="7">
        <v>3</v>
      </c>
      <c r="C17" s="7"/>
      <c r="D17" s="7">
        <v>1</v>
      </c>
      <c r="E17" s="7"/>
      <c r="F17" s="7"/>
      <c r="G17" s="7"/>
      <c r="H17" s="7">
        <v>6</v>
      </c>
      <c r="I17" s="7"/>
      <c r="J17" s="7"/>
      <c r="K17" s="7"/>
      <c r="L17" s="7"/>
      <c r="M17" s="7"/>
      <c r="N17" s="4"/>
      <c r="O17" s="4"/>
    </row>
    <row r="18" spans="1:15" ht="18.75">
      <c r="A18" s="8" t="s">
        <v>44</v>
      </c>
      <c r="B18" s="7">
        <v>9</v>
      </c>
      <c r="C18" s="7"/>
      <c r="D18" s="7">
        <v>9</v>
      </c>
      <c r="E18" s="7"/>
      <c r="F18" s="7"/>
      <c r="G18" s="7"/>
      <c r="H18" s="7">
        <v>18</v>
      </c>
      <c r="I18" s="7"/>
      <c r="J18" s="7"/>
      <c r="K18" s="7"/>
      <c r="L18" s="7"/>
      <c r="M18" s="7"/>
      <c r="N18" s="4"/>
      <c r="O18" s="4"/>
    </row>
    <row r="19" spans="1:15" ht="18.75">
      <c r="A19" s="11" t="s">
        <v>0</v>
      </c>
      <c r="B19" s="1">
        <f>B7+B8</f>
        <v>335</v>
      </c>
      <c r="C19" s="1">
        <f t="shared" ref="C19:O19" si="2">C7+C8</f>
        <v>14</v>
      </c>
      <c r="D19" s="1">
        <f t="shared" si="2"/>
        <v>150</v>
      </c>
      <c r="E19" s="1">
        <f t="shared" si="2"/>
        <v>0</v>
      </c>
      <c r="F19" s="1">
        <f t="shared" si="2"/>
        <v>0</v>
      </c>
      <c r="G19" s="1">
        <f t="shared" si="2"/>
        <v>0</v>
      </c>
      <c r="H19" s="1">
        <f>H7+H8</f>
        <v>629</v>
      </c>
      <c r="I19" s="1">
        <f t="shared" si="2"/>
        <v>0</v>
      </c>
      <c r="J19" s="1">
        <f t="shared" si="2"/>
        <v>0</v>
      </c>
      <c r="K19" s="1">
        <f t="shared" si="2"/>
        <v>4</v>
      </c>
      <c r="L19" s="1">
        <f t="shared" si="2"/>
        <v>6</v>
      </c>
      <c r="M19" s="1">
        <f t="shared" si="2"/>
        <v>6</v>
      </c>
      <c r="N19" s="1">
        <f t="shared" si="2"/>
        <v>0</v>
      </c>
      <c r="O19" s="1">
        <f t="shared" si="2"/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2026-03-05T21:15:38Z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