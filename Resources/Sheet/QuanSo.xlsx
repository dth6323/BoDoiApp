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BODOIAPP\Resources\Sheet\"/>
    </mc:Choice>
  </mc:AlternateContent>
  <xr:revisionPtr revIDLastSave="0" documentId="13_ncr:1_{9EC920E6-9619-4528-9CA0-37A58056C8B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8" r:id="rId1"/>
    <sheet name="Sheet2" sheetId="19" r:id="rId2"/>
    <sheet name="Sheet3" sheetId="20" r:id="rId3"/>
    <sheet name="Sheet4" sheetId="21" r:id="rId4"/>
    <sheet name="Sheet5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2" l="1"/>
  <c r="D9" i="22"/>
  <c r="E9" i="22"/>
  <c r="F9" i="22"/>
  <c r="F6" i="22" s="1"/>
  <c r="G9" i="22"/>
  <c r="G6" i="22" s="1"/>
  <c r="H9" i="22"/>
  <c r="I9" i="22"/>
  <c r="J9" i="22"/>
  <c r="K9" i="22"/>
  <c r="L9" i="22"/>
  <c r="M9" i="22"/>
  <c r="N9" i="22"/>
  <c r="O9" i="22"/>
  <c r="C7" i="22"/>
  <c r="D7" i="22"/>
  <c r="E7" i="22"/>
  <c r="E6" i="22" s="1"/>
  <c r="F7" i="22"/>
  <c r="G7" i="22"/>
  <c r="H7" i="22"/>
  <c r="I7" i="22"/>
  <c r="J7" i="22"/>
  <c r="K7" i="22"/>
  <c r="L7" i="22"/>
  <c r="M7" i="22"/>
  <c r="M6" i="22" s="1"/>
  <c r="N7" i="22"/>
  <c r="O7" i="22"/>
  <c r="C6" i="22"/>
  <c r="D6" i="22"/>
  <c r="H6" i="22"/>
  <c r="I6" i="22"/>
  <c r="J6" i="22"/>
  <c r="K6" i="22"/>
  <c r="L6" i="22"/>
  <c r="O6" i="22"/>
  <c r="B6" i="22"/>
  <c r="H13" i="19"/>
  <c r="C9" i="21"/>
  <c r="D9" i="21"/>
  <c r="E9" i="21"/>
  <c r="F9" i="21"/>
  <c r="F6" i="21" s="1"/>
  <c r="G9" i="21"/>
  <c r="H9" i="21"/>
  <c r="I9" i="21"/>
  <c r="J9" i="21"/>
  <c r="K9" i="21"/>
  <c r="L9" i="21"/>
  <c r="M9" i="21"/>
  <c r="N9" i="21"/>
  <c r="N6" i="21" s="1"/>
  <c r="O9" i="21"/>
  <c r="B9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B7" i="20"/>
  <c r="G6" i="19"/>
  <c r="B6" i="19"/>
  <c r="C9" i="19"/>
  <c r="C6" i="19" s="1"/>
  <c r="D9" i="19"/>
  <c r="E9" i="19"/>
  <c r="F9" i="19"/>
  <c r="G9" i="19"/>
  <c r="H9" i="19"/>
  <c r="I9" i="19"/>
  <c r="J9" i="19"/>
  <c r="K9" i="19"/>
  <c r="L9" i="19"/>
  <c r="L6" i="19" s="1"/>
  <c r="M9" i="19"/>
  <c r="M6" i="19" s="1"/>
  <c r="N9" i="19"/>
  <c r="O9" i="19"/>
  <c r="O6" i="19" s="1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C7" i="18"/>
  <c r="D7" i="18"/>
  <c r="E7" i="18"/>
  <c r="F7" i="18"/>
  <c r="G7" i="18"/>
  <c r="H7" i="18"/>
  <c r="I7" i="18"/>
  <c r="J7" i="18"/>
  <c r="K7" i="18"/>
  <c r="L7" i="18"/>
  <c r="M7" i="18"/>
  <c r="N7" i="18"/>
  <c r="N6" i="18" s="1"/>
  <c r="O7" i="18"/>
  <c r="B7" i="18"/>
  <c r="B9" i="19"/>
  <c r="B9" i="18"/>
  <c r="B7" i="19"/>
  <c r="B7" i="21"/>
  <c r="B9" i="22"/>
  <c r="B7" i="22"/>
  <c r="B9" i="20"/>
  <c r="O9" i="18"/>
  <c r="N9" i="18"/>
  <c r="M9" i="18"/>
  <c r="L9" i="18"/>
  <c r="K9" i="18"/>
  <c r="K6" i="18" s="1"/>
  <c r="J9" i="18"/>
  <c r="J6" i="18" s="1"/>
  <c r="I9" i="18"/>
  <c r="I6" i="18" s="1"/>
  <c r="H9" i="18"/>
  <c r="H6" i="18" s="1"/>
  <c r="G9" i="18"/>
  <c r="G6" i="18" s="1"/>
  <c r="F9" i="18"/>
  <c r="F6" i="18" s="1"/>
  <c r="E9" i="18"/>
  <c r="E6" i="18" s="1"/>
  <c r="D9" i="18"/>
  <c r="C9" i="18"/>
  <c r="N6" i="22" l="1"/>
  <c r="K6" i="21"/>
  <c r="E6" i="21"/>
  <c r="I6" i="21"/>
  <c r="G6" i="21"/>
  <c r="B6" i="21"/>
  <c r="D6" i="21"/>
  <c r="J6" i="21"/>
  <c r="H6" i="21"/>
  <c r="C6" i="21"/>
  <c r="I6" i="19"/>
  <c r="F6" i="19"/>
  <c r="N6" i="19"/>
  <c r="K6" i="19"/>
  <c r="J6" i="19"/>
  <c r="H6" i="19"/>
  <c r="E6" i="19"/>
  <c r="D6" i="19"/>
  <c r="M6" i="18"/>
  <c r="C6" i="18"/>
  <c r="O6" i="18"/>
  <c r="B6" i="18"/>
  <c r="L6" i="18"/>
  <c r="M6" i="21"/>
  <c r="O6" i="21"/>
  <c r="L6" i="21"/>
  <c r="D6" i="18"/>
  <c r="K6" i="20"/>
  <c r="L6" i="20"/>
  <c r="J6" i="20"/>
  <c r="N6" i="20"/>
  <c r="M6" i="20"/>
  <c r="E6" i="20"/>
  <c r="D6" i="20"/>
  <c r="F6" i="20"/>
  <c r="B6" i="20"/>
  <c r="O6" i="20"/>
  <c r="C6" i="20"/>
  <c r="H6" i="20"/>
  <c r="I6" i="20"/>
  <c r="G6" i="20"/>
</calcChain>
</file>

<file path=xl/sharedStrings.xml><?xml version="1.0" encoding="utf-8"?>
<sst xmlns="http://schemas.openxmlformats.org/spreadsheetml/2006/main" count="139" uniqueCount="59">
  <si>
    <t>Tổng</t>
  </si>
  <si>
    <t>LỰC LƯỢNG</t>
  </si>
  <si>
    <t>QUÂN SỐ</t>
  </si>
  <si>
    <t>TRANG BỊ KỸ THUẬT</t>
  </si>
  <si>
    <t>VẬT TỰ KỸ THUẬT</t>
  </si>
  <si>
    <t>Vũ khí bộ binh</t>
  </si>
  <si>
    <t>Lựu đạn</t>
  </si>
  <si>
    <t>Cối</t>
  </si>
  <si>
    <t>PCT</t>
  </si>
  <si>
    <t>Pháo PK</t>
  </si>
  <si>
    <t>ON</t>
  </si>
  <si>
    <t>ĐB</t>
  </si>
  <si>
    <t>SN</t>
  </si>
  <si>
    <t>TL</t>
  </si>
  <si>
    <t>TrL</t>
  </si>
  <si>
    <t>ĐL</t>
  </si>
  <si>
    <t>B41, M79</t>
  </si>
  <si>
    <t>SPG9</t>
  </si>
  <si>
    <t>1. Trong biên chế</t>
  </si>
  <si>
    <t>2. LL tăng cường</t>
  </si>
  <si>
    <t>TỔ CHỨC BIÊN CHẾ, TRANG BỊ TIỂU ĐOÀN BỘ BINH TIẾN CÔNG RỪNG NÚI</t>
  </si>
  <si>
    <t>dBB</t>
  </si>
  <si>
    <t>2. LL phối thuộc</t>
  </si>
  <si>
    <t>1 cO100/e</t>
  </si>
  <si>
    <t>1 cSPG-9/e</t>
  </si>
  <si>
    <t>1 cSMPK 12,7mm/e</t>
  </si>
  <si>
    <t>1b VTB/e</t>
  </si>
  <si>
    <t>1 tổ QY/e</t>
  </si>
  <si>
    <t>1 tổ SC/e</t>
  </si>
  <si>
    <t>TỔ CHỨC BIÊN CHẾ, TRANG BỊ HƯỚNG THỨ YẾU</t>
  </si>
  <si>
    <t>TỔ CHỨC BIÊN CHẾ, TRANG BỊ LỰC LƯỢNG CÒN LẠI</t>
  </si>
  <si>
    <t>Lực lượng còn lại</t>
  </si>
  <si>
    <t>2. Lực lượng tăng cường</t>
  </si>
  <si>
    <t>TỔ CHỨC BIÊN CHẾ, TRANG BỊ LỰC LƯỢNG PHÒNG NGỰ PHÍA SAU</t>
  </si>
  <si>
    <t>cBB3</t>
  </si>
  <si>
    <t xml:space="preserve">Nuôi quân </t>
  </si>
  <si>
    <t>TỔ CHỨC BIÊN CHẾ, TRANG BỊ HƯỚNG CHỦ YẾU</t>
  </si>
  <si>
    <t>cBB1</t>
  </si>
  <si>
    <t>1 b SPG-9/e</t>
  </si>
  <si>
    <t>cCo82(-)/d</t>
  </si>
  <si>
    <t>b SMPK 12,7mm/e</t>
  </si>
  <si>
    <t>cBB2 (-)</t>
  </si>
  <si>
    <t>Y tá/d</t>
  </si>
  <si>
    <t>Nuôi quân/d</t>
  </si>
  <si>
    <t>a VTB</t>
  </si>
  <si>
    <t>1 bHH/f</t>
  </si>
  <si>
    <t>1 c CB(-)/e</t>
  </si>
  <si>
    <t>cBB7/dBB2</t>
  </si>
  <si>
    <t>1bSPG9/d</t>
  </si>
  <si>
    <t>1bCo82/d</t>
  </si>
  <si>
    <t>1bSMPK12,7</t>
  </si>
  <si>
    <t>Nuôi quân</t>
  </si>
  <si>
    <t>1cCo100mm/e</t>
  </si>
  <si>
    <t>1cSPG-9/e</t>
  </si>
  <si>
    <t>1cSMPK12,7mm/e</t>
  </si>
  <si>
    <t>1cCB(-)/e</t>
  </si>
  <si>
    <t>1bHH/f</t>
  </si>
  <si>
    <t>1bVTB/e</t>
  </si>
  <si>
    <t>cBB7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</si>
</sst>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14"/>
      <color rgb="FFFF0000"/>
      <name val="Times New Roman"/>
      <family val="1"/>
      <charset val="163"/>
    </font>
    <font>
      <b/>
      <sz val="14"/>
      <color theme="1"/>
      <name val="#9Slide02 Tieu de rat dai 01"/>
      <charset val="163"/>
    </font>
    <font>
      <b/>
      <sz val="13"/>
      <color theme="1"/>
      <name val="#9Slide02 Tieu de rat dai 01"/>
      <charset val="163"/>
    </font>
    <font>
      <sz val="14"/>
      <color theme="1"/>
      <name val="#9Slide02 Tieu de rat dai 01"/>
      <charset val="163"/>
    </font>
    <font>
      <sz val="14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3"/>
      <color theme="1"/>
      <name val="#9Slide02 Tieu de rat dai 01"/>
      <charset val="163"/>
    </font>
    <font>
      <sz val="14"/>
      <color theme="1"/>
      <name val="Times New Roman"/>
      <family val="1"/>
      <charset val="163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/>
    <xf numFmtId="0" fontId="10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62C6-0108-43A0-A041-4934A4F6C24B}">
  <dimension ref="A1:O21"/>
  <sheetViews>
    <sheetView topLeftCell="A5" zoomScale="85" zoomScaleNormal="85" workbookViewId="0">
      <selection activeCell="B6" sqref="B6"/>
    </sheetView>
  </sheetViews>
  <sheetFormatPr defaultRowHeight="14.4"/>
  <cols>
    <col min="1" max="1" width="24.6640625" customWidth="1"/>
    <col min="14" max="14" width="13.109375" customWidth="1"/>
    <col min="15" max="15" width="14.109375" customWidth="1"/>
  </cols>
  <sheetData>
    <row r="1" spans="1:15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8" customHeight="1">
      <c r="A3" s="18" t="s">
        <v>1</v>
      </c>
      <c r="B3" s="18" t="s">
        <v>2</v>
      </c>
      <c r="C3" s="18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20" t="s">
        <v>4</v>
      </c>
      <c r="O3" s="20"/>
    </row>
    <row r="4" spans="1:15" ht="33.6">
      <c r="A4" s="18"/>
      <c r="B4" s="18"/>
      <c r="C4" s="18" t="s">
        <v>5</v>
      </c>
      <c r="D4" s="18"/>
      <c r="E4" s="18"/>
      <c r="F4" s="18"/>
      <c r="G4" s="18"/>
      <c r="H4" s="18" t="s">
        <v>6</v>
      </c>
      <c r="I4" s="18" t="s">
        <v>7</v>
      </c>
      <c r="J4" s="18"/>
      <c r="K4" s="18"/>
      <c r="L4" s="2" t="s">
        <v>8</v>
      </c>
      <c r="M4" s="2" t="s">
        <v>9</v>
      </c>
      <c r="N4" s="3" t="s">
        <v>10</v>
      </c>
      <c r="O4" s="3" t="s">
        <v>11</v>
      </c>
    </row>
    <row r="5" spans="1:15" ht="33.6">
      <c r="A5" s="18"/>
      <c r="B5" s="18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18"/>
      <c r="I5" s="2">
        <v>60</v>
      </c>
      <c r="J5" s="2">
        <v>82</v>
      </c>
      <c r="K5" s="2">
        <v>100</v>
      </c>
      <c r="L5" s="2" t="s">
        <v>17</v>
      </c>
      <c r="M5" s="2">
        <v>12.7</v>
      </c>
      <c r="N5" s="4"/>
      <c r="O5" s="4"/>
    </row>
    <row r="6" spans="1:15" ht="17.399999999999999">
      <c r="A6" s="11" t="s">
        <v>0</v>
      </c>
      <c r="B6" s="1">
        <f t="shared" ref="B6:O6" si="0">B7+B9</f>
        <v>1001</v>
      </c>
      <c r="C6" s="1">
        <f t="shared" si="0"/>
        <v>42</v>
      </c>
      <c r="D6" s="1">
        <f t="shared" si="0"/>
        <v>486</v>
      </c>
      <c r="E6" s="1">
        <f t="shared" si="0"/>
        <v>36</v>
      </c>
      <c r="F6" s="1">
        <f t="shared" si="0"/>
        <v>8</v>
      </c>
      <c r="G6" s="1">
        <f t="shared" si="0"/>
        <v>72</v>
      </c>
      <c r="H6" s="1">
        <f t="shared" si="0"/>
        <v>2403</v>
      </c>
      <c r="I6" s="1">
        <f t="shared" si="0"/>
        <v>8</v>
      </c>
      <c r="J6" s="1">
        <f t="shared" si="0"/>
        <v>4</v>
      </c>
      <c r="K6" s="1">
        <f t="shared" si="0"/>
        <v>4</v>
      </c>
      <c r="L6" s="1">
        <f t="shared" si="0"/>
        <v>9</v>
      </c>
      <c r="M6" s="1">
        <f t="shared" si="0"/>
        <v>9</v>
      </c>
      <c r="N6" s="1">
        <f t="shared" si="0"/>
        <v>0</v>
      </c>
      <c r="O6" s="1">
        <f t="shared" si="0"/>
        <v>0</v>
      </c>
    </row>
    <row r="7" spans="1:15" ht="17.399999999999999">
      <c r="A7" s="5" t="s">
        <v>18</v>
      </c>
      <c r="B7" s="5">
        <f>B8</f>
        <v>546</v>
      </c>
      <c r="C7" s="5">
        <f t="shared" ref="C7:O7" si="1">C8</f>
        <v>22</v>
      </c>
      <c r="D7" s="5">
        <f t="shared" si="1"/>
        <v>289</v>
      </c>
      <c r="E7" s="5">
        <f t="shared" si="1"/>
        <v>27</v>
      </c>
      <c r="F7" s="5">
        <f t="shared" si="1"/>
        <v>6</v>
      </c>
      <c r="G7" s="5">
        <f t="shared" si="1"/>
        <v>54</v>
      </c>
      <c r="H7" s="5">
        <f t="shared" si="1"/>
        <v>1444</v>
      </c>
      <c r="I7" s="5">
        <f t="shared" si="1"/>
        <v>6</v>
      </c>
      <c r="J7" s="5">
        <f t="shared" si="1"/>
        <v>4</v>
      </c>
      <c r="K7" s="5">
        <f t="shared" si="1"/>
        <v>0</v>
      </c>
      <c r="L7" s="5">
        <f t="shared" si="1"/>
        <v>3</v>
      </c>
      <c r="M7" s="5">
        <f t="shared" si="1"/>
        <v>3</v>
      </c>
      <c r="N7" s="5">
        <f t="shared" si="1"/>
        <v>0</v>
      </c>
      <c r="O7" s="5">
        <f t="shared" si="1"/>
        <v>0</v>
      </c>
    </row>
    <row r="8" spans="1:15" ht="18">
      <c r="A8" s="6" t="s">
        <v>21</v>
      </c>
      <c r="B8" s="7">
        <v>546</v>
      </c>
      <c r="C8" s="7">
        <v>22</v>
      </c>
      <c r="D8" s="7">
        <v>289</v>
      </c>
      <c r="E8" s="7">
        <v>27</v>
      </c>
      <c r="F8" s="7">
        <v>6</v>
      </c>
      <c r="G8" s="7">
        <v>54</v>
      </c>
      <c r="H8" s="7">
        <v>1444</v>
      </c>
      <c r="I8" s="7">
        <v>6</v>
      </c>
      <c r="J8" s="7">
        <v>4</v>
      </c>
      <c r="K8" s="7">
        <v>0</v>
      </c>
      <c r="L8" s="7">
        <v>3</v>
      </c>
      <c r="M8" s="7">
        <v>3</v>
      </c>
      <c r="N8" s="7">
        <v>0</v>
      </c>
      <c r="O8" s="7">
        <v>0</v>
      </c>
    </row>
    <row r="9" spans="1:15" ht="17.399999999999999">
      <c r="A9" s="5" t="s">
        <v>22</v>
      </c>
      <c r="B9" s="5">
        <f t="shared" ref="B9:O9" si="2">SUM(B10:B21)</f>
        <v>455</v>
      </c>
      <c r="C9" s="5">
        <f t="shared" si="2"/>
        <v>20</v>
      </c>
      <c r="D9" s="5">
        <f t="shared" si="2"/>
        <v>197</v>
      </c>
      <c r="E9" s="5">
        <f t="shared" si="2"/>
        <v>9</v>
      </c>
      <c r="F9" s="5">
        <f t="shared" si="2"/>
        <v>2</v>
      </c>
      <c r="G9" s="5">
        <f t="shared" si="2"/>
        <v>18</v>
      </c>
      <c r="H9" s="5">
        <f t="shared" si="2"/>
        <v>959</v>
      </c>
      <c r="I9" s="5">
        <f t="shared" si="2"/>
        <v>2</v>
      </c>
      <c r="J9" s="5">
        <f t="shared" si="2"/>
        <v>0</v>
      </c>
      <c r="K9" s="5">
        <f t="shared" si="2"/>
        <v>4</v>
      </c>
      <c r="L9" s="5">
        <f t="shared" si="2"/>
        <v>6</v>
      </c>
      <c r="M9" s="5">
        <f t="shared" si="2"/>
        <v>6</v>
      </c>
      <c r="N9" s="5">
        <f t="shared" si="2"/>
        <v>0</v>
      </c>
      <c r="O9" s="5">
        <f t="shared" si="2"/>
        <v>0</v>
      </c>
    </row>
    <row r="10" spans="1:15" ht="18">
      <c r="A10" s="8" t="s">
        <v>23</v>
      </c>
      <c r="B10" s="7">
        <v>74</v>
      </c>
      <c r="C10" s="7">
        <v>4</v>
      </c>
      <c r="D10" s="7">
        <v>30</v>
      </c>
      <c r="E10" s="7">
        <v>0</v>
      </c>
      <c r="F10" s="7">
        <v>0</v>
      </c>
      <c r="G10" s="7">
        <v>0</v>
      </c>
      <c r="H10" s="7">
        <v>139</v>
      </c>
      <c r="I10" s="7">
        <v>0</v>
      </c>
      <c r="J10" s="7">
        <v>0</v>
      </c>
      <c r="K10" s="7">
        <v>4</v>
      </c>
      <c r="L10" s="7">
        <v>0</v>
      </c>
      <c r="M10" s="7">
        <v>0</v>
      </c>
      <c r="N10" s="7">
        <v>0</v>
      </c>
      <c r="O10" s="7">
        <v>0</v>
      </c>
    </row>
    <row r="11" spans="1:15" ht="18">
      <c r="A11" s="8" t="s">
        <v>24</v>
      </c>
      <c r="B11" s="7">
        <v>69</v>
      </c>
      <c r="C11" s="7">
        <v>4</v>
      </c>
      <c r="D11" s="7">
        <v>26</v>
      </c>
      <c r="E11" s="7">
        <v>0</v>
      </c>
      <c r="F11" s="7">
        <v>0</v>
      </c>
      <c r="G11" s="7">
        <v>0</v>
      </c>
      <c r="H11" s="7">
        <v>130</v>
      </c>
      <c r="I11" s="7">
        <v>0</v>
      </c>
      <c r="J11" s="7">
        <v>0</v>
      </c>
      <c r="K11" s="7">
        <v>0</v>
      </c>
      <c r="L11" s="7">
        <v>6</v>
      </c>
      <c r="M11" s="7">
        <v>0</v>
      </c>
      <c r="N11" s="7">
        <v>0</v>
      </c>
      <c r="O11" s="7">
        <v>0</v>
      </c>
    </row>
    <row r="12" spans="1:15" ht="18">
      <c r="A12" s="8" t="s">
        <v>25</v>
      </c>
      <c r="B12" s="7">
        <v>82</v>
      </c>
      <c r="C12" s="7">
        <v>4</v>
      </c>
      <c r="D12" s="7">
        <v>26</v>
      </c>
      <c r="E12" s="7">
        <v>0</v>
      </c>
      <c r="F12" s="7">
        <v>0</v>
      </c>
      <c r="G12" s="7">
        <v>0</v>
      </c>
      <c r="H12" s="7">
        <v>156</v>
      </c>
      <c r="I12" s="7">
        <v>0</v>
      </c>
      <c r="J12" s="7">
        <v>0</v>
      </c>
      <c r="K12" s="7">
        <v>0</v>
      </c>
      <c r="L12" s="7">
        <v>0</v>
      </c>
      <c r="M12" s="7">
        <v>6</v>
      </c>
      <c r="N12" s="7">
        <v>0</v>
      </c>
      <c r="O12" s="7">
        <v>0</v>
      </c>
    </row>
    <row r="13" spans="1:15" ht="18">
      <c r="A13" s="8" t="s">
        <v>26</v>
      </c>
      <c r="B13" s="7">
        <v>28</v>
      </c>
      <c r="C13" s="7">
        <v>0</v>
      </c>
      <c r="D13" s="7">
        <v>10</v>
      </c>
      <c r="E13" s="7">
        <v>0</v>
      </c>
      <c r="F13" s="7">
        <v>0</v>
      </c>
      <c r="G13" s="7">
        <v>0</v>
      </c>
      <c r="H13" s="7">
        <v>56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</row>
    <row r="14" spans="1:15" ht="18">
      <c r="A14" s="9" t="s">
        <v>27</v>
      </c>
      <c r="B14" s="10">
        <v>3</v>
      </c>
      <c r="C14" s="7">
        <v>0</v>
      </c>
      <c r="D14" s="10">
        <v>3</v>
      </c>
      <c r="E14" s="7">
        <v>0</v>
      </c>
      <c r="F14" s="7">
        <v>0</v>
      </c>
      <c r="G14" s="7">
        <v>0</v>
      </c>
      <c r="H14" s="10">
        <v>6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</row>
    <row r="15" spans="1:15" ht="18">
      <c r="A15" s="9" t="s">
        <v>45</v>
      </c>
      <c r="B15" s="10">
        <v>19</v>
      </c>
      <c r="C15" s="7">
        <v>0</v>
      </c>
      <c r="D15" s="10">
        <v>10</v>
      </c>
      <c r="E15" s="7">
        <v>0</v>
      </c>
      <c r="F15" s="7">
        <v>0</v>
      </c>
      <c r="G15" s="7">
        <v>0</v>
      </c>
      <c r="H15" s="10">
        <v>50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</row>
    <row r="16" spans="1:15" ht="18">
      <c r="A16" s="8" t="s">
        <v>46</v>
      </c>
      <c r="B16" s="7">
        <v>66</v>
      </c>
      <c r="C16" s="7">
        <v>4</v>
      </c>
      <c r="D16" s="7">
        <v>23</v>
      </c>
      <c r="E16" s="7">
        <v>0</v>
      </c>
      <c r="F16" s="7">
        <v>0</v>
      </c>
      <c r="G16" s="7">
        <v>0</v>
      </c>
      <c r="H16" s="7">
        <v>70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</row>
    <row r="17" spans="1:15" ht="18">
      <c r="A17" s="8" t="s">
        <v>28</v>
      </c>
      <c r="B17" s="7">
        <v>3</v>
      </c>
      <c r="C17" s="7"/>
      <c r="D17" s="7">
        <v>1</v>
      </c>
      <c r="E17" s="7">
        <v>0</v>
      </c>
      <c r="F17" s="7">
        <v>0</v>
      </c>
      <c r="G17" s="7">
        <v>0</v>
      </c>
      <c r="H17" s="7">
        <v>6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</row>
    <row r="18" spans="1:15" ht="18">
      <c r="A18" s="14" t="s">
        <v>47</v>
      </c>
      <c r="B18" s="7">
        <v>111</v>
      </c>
      <c r="C18" s="7">
        <v>4</v>
      </c>
      <c r="D18" s="7">
        <v>68</v>
      </c>
      <c r="E18" s="7">
        <v>9</v>
      </c>
      <c r="F18" s="7">
        <v>2</v>
      </c>
      <c r="G18" s="7">
        <v>18</v>
      </c>
      <c r="H18" s="7">
        <v>346</v>
      </c>
      <c r="I18" s="7">
        <v>2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</row>
    <row r="19" spans="1:15" ht="18">
      <c r="A19" s="13">
        <v>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</row>
    <row r="20" spans="1:15" ht="18">
      <c r="A20" s="13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4">
        <v>0</v>
      </c>
      <c r="O20" s="4">
        <v>0</v>
      </c>
    </row>
    <row r="21" spans="1:15" ht="18">
      <c r="A21" s="13">
        <v>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4">
        <v>0</v>
      </c>
      <c r="O21" s="4">
        <v>0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F30C-1FF8-4713-9F95-98FAF47ADF4C}">
  <dimension ref="A1:O18"/>
  <sheetViews>
    <sheetView zoomScale="70" zoomScaleNormal="70" workbookViewId="0">
      <selection activeCell="B6" sqref="B6"/>
    </sheetView>
  </sheetViews>
  <sheetFormatPr defaultRowHeight="14.4"/>
  <cols>
    <col min="1" max="1" width="23.77734375" customWidth="1"/>
    <col min="14" max="14" width="13.109375" customWidth="1"/>
    <col min="15" max="15" width="14.109375" customWidth="1"/>
  </cols>
  <sheetData>
    <row r="1" spans="1:15" ht="15" customHeight="1">
      <c r="A1" s="17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6.5" customHeight="1">
      <c r="A3" s="18" t="s">
        <v>1</v>
      </c>
      <c r="B3" s="18" t="s">
        <v>2</v>
      </c>
      <c r="C3" s="18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9" t="s">
        <v>4</v>
      </c>
      <c r="O3" s="19"/>
    </row>
    <row r="4" spans="1:15" ht="33" customHeight="1">
      <c r="A4" s="18"/>
      <c r="B4" s="18"/>
      <c r="C4" s="18" t="s">
        <v>5</v>
      </c>
      <c r="D4" s="18"/>
      <c r="E4" s="18"/>
      <c r="F4" s="18"/>
      <c r="G4" s="18"/>
      <c r="H4" s="18" t="s">
        <v>6</v>
      </c>
      <c r="I4" s="18" t="s">
        <v>7</v>
      </c>
      <c r="J4" s="18"/>
      <c r="K4" s="18"/>
      <c r="L4" s="2" t="s">
        <v>8</v>
      </c>
      <c r="M4" s="2" t="s">
        <v>9</v>
      </c>
      <c r="N4" s="3" t="s">
        <v>10</v>
      </c>
      <c r="O4" s="3" t="s">
        <v>11</v>
      </c>
    </row>
    <row r="5" spans="1:15" ht="33.6">
      <c r="A5" s="18"/>
      <c r="B5" s="18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18"/>
      <c r="I5" s="2">
        <v>60</v>
      </c>
      <c r="J5" s="2">
        <v>82</v>
      </c>
      <c r="K5" s="2">
        <v>100</v>
      </c>
      <c r="L5" s="2" t="s">
        <v>17</v>
      </c>
      <c r="M5" s="2">
        <v>12.7</v>
      </c>
      <c r="N5" s="4"/>
      <c r="O5" s="4"/>
    </row>
    <row r="6" spans="1:15" ht="17.399999999999999">
      <c r="A6" s="11" t="s">
        <v>0</v>
      </c>
      <c r="B6" s="1">
        <f t="shared" ref="B6:O6" si="0">B7+B9</f>
        <v>308</v>
      </c>
      <c r="C6" s="1">
        <f t="shared" si="0"/>
        <v>12</v>
      </c>
      <c r="D6" s="1">
        <f t="shared" si="0"/>
        <v>161</v>
      </c>
      <c r="E6" s="1">
        <f t="shared" si="0"/>
        <v>15</v>
      </c>
      <c r="F6" s="1">
        <f t="shared" si="0"/>
        <v>4</v>
      </c>
      <c r="G6" s="1">
        <f t="shared" si="0"/>
        <v>30</v>
      </c>
      <c r="H6" s="1">
        <f t="shared" si="0"/>
        <v>846</v>
      </c>
      <c r="I6" s="1">
        <f t="shared" si="0"/>
        <v>4</v>
      </c>
      <c r="J6" s="1">
        <f t="shared" si="0"/>
        <v>3</v>
      </c>
      <c r="K6" s="1">
        <f t="shared" si="0"/>
        <v>0</v>
      </c>
      <c r="L6" s="1">
        <f t="shared" si="0"/>
        <v>3</v>
      </c>
      <c r="M6" s="1">
        <f t="shared" si="0"/>
        <v>3</v>
      </c>
      <c r="N6" s="1">
        <f t="shared" si="0"/>
        <v>0</v>
      </c>
      <c r="O6" s="1">
        <f t="shared" si="0"/>
        <v>0</v>
      </c>
    </row>
    <row r="7" spans="1:15" ht="17.399999999999999">
      <c r="A7" s="5" t="s">
        <v>18</v>
      </c>
      <c r="B7" s="5">
        <f>B8</f>
        <v>111</v>
      </c>
      <c r="C7" s="5">
        <f t="shared" ref="C7:O7" si="1">C8</f>
        <v>4</v>
      </c>
      <c r="D7" s="5">
        <f t="shared" si="1"/>
        <v>68</v>
      </c>
      <c r="E7" s="5">
        <f t="shared" si="1"/>
        <v>9</v>
      </c>
      <c r="F7" s="5">
        <f t="shared" si="1"/>
        <v>2</v>
      </c>
      <c r="G7" s="5">
        <f t="shared" si="1"/>
        <v>18</v>
      </c>
      <c r="H7" s="5">
        <f t="shared" si="1"/>
        <v>346</v>
      </c>
      <c r="I7" s="5">
        <f t="shared" si="1"/>
        <v>2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</row>
    <row r="8" spans="1:15" ht="18">
      <c r="A8" s="6" t="s">
        <v>37</v>
      </c>
      <c r="B8" s="7">
        <v>111</v>
      </c>
      <c r="C8" s="7">
        <v>4</v>
      </c>
      <c r="D8" s="7">
        <v>68</v>
      </c>
      <c r="E8" s="7">
        <v>9</v>
      </c>
      <c r="F8" s="7">
        <v>2</v>
      </c>
      <c r="G8" s="7">
        <v>18</v>
      </c>
      <c r="H8" s="7">
        <v>346</v>
      </c>
      <c r="I8" s="7">
        <v>2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</row>
    <row r="9" spans="1:15" ht="17.399999999999999">
      <c r="A9" s="5" t="s">
        <v>19</v>
      </c>
      <c r="B9" s="5">
        <f>SUM(B10:B18)</f>
        <v>197</v>
      </c>
      <c r="C9" s="5">
        <f t="shared" ref="C9:O9" si="2">SUM(C10:C18)</f>
        <v>8</v>
      </c>
      <c r="D9" s="5">
        <f t="shared" si="2"/>
        <v>93</v>
      </c>
      <c r="E9" s="5">
        <f t="shared" si="2"/>
        <v>6</v>
      </c>
      <c r="F9" s="5">
        <f t="shared" si="2"/>
        <v>2</v>
      </c>
      <c r="G9" s="5">
        <f t="shared" si="2"/>
        <v>12</v>
      </c>
      <c r="H9" s="5">
        <f t="shared" si="2"/>
        <v>500</v>
      </c>
      <c r="I9" s="5">
        <f t="shared" si="2"/>
        <v>2</v>
      </c>
      <c r="J9" s="5">
        <f t="shared" si="2"/>
        <v>3</v>
      </c>
      <c r="K9" s="5">
        <f t="shared" si="2"/>
        <v>0</v>
      </c>
      <c r="L9" s="5">
        <f t="shared" si="2"/>
        <v>3</v>
      </c>
      <c r="M9" s="5">
        <f t="shared" si="2"/>
        <v>3</v>
      </c>
      <c r="N9" s="5">
        <f t="shared" si="2"/>
        <v>0</v>
      </c>
      <c r="O9" s="5">
        <f t="shared" si="2"/>
        <v>0</v>
      </c>
    </row>
    <row r="10" spans="1:15" ht="18">
      <c r="A10" s="8" t="s">
        <v>38</v>
      </c>
      <c r="B10" s="7">
        <v>29</v>
      </c>
      <c r="C10" s="7">
        <v>0</v>
      </c>
      <c r="D10" s="7">
        <v>11</v>
      </c>
      <c r="E10" s="7">
        <v>0</v>
      </c>
      <c r="F10" s="7">
        <v>0</v>
      </c>
      <c r="G10" s="7">
        <v>0</v>
      </c>
      <c r="H10" s="7">
        <v>58</v>
      </c>
      <c r="I10" s="7">
        <v>0</v>
      </c>
      <c r="J10" s="7">
        <v>0</v>
      </c>
      <c r="K10" s="7">
        <v>0</v>
      </c>
      <c r="L10" s="7">
        <v>3</v>
      </c>
      <c r="M10" s="7">
        <v>0</v>
      </c>
      <c r="N10" s="7">
        <v>0</v>
      </c>
      <c r="O10" s="7">
        <v>0</v>
      </c>
    </row>
    <row r="11" spans="1:15" ht="18">
      <c r="A11" s="8" t="s">
        <v>39</v>
      </c>
      <c r="B11" s="7">
        <v>34</v>
      </c>
      <c r="C11" s="7">
        <v>4</v>
      </c>
      <c r="D11" s="7">
        <v>17</v>
      </c>
      <c r="E11" s="7">
        <v>0</v>
      </c>
      <c r="F11" s="7">
        <v>0</v>
      </c>
      <c r="G11" s="7">
        <v>0</v>
      </c>
      <c r="H11" s="7">
        <v>94</v>
      </c>
      <c r="I11" s="7">
        <v>0</v>
      </c>
      <c r="J11" s="7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</row>
    <row r="12" spans="1:15" ht="18">
      <c r="A12" s="8" t="s">
        <v>40</v>
      </c>
      <c r="B12" s="7">
        <v>35</v>
      </c>
      <c r="C12" s="7">
        <v>0</v>
      </c>
      <c r="D12" s="7">
        <v>11</v>
      </c>
      <c r="E12" s="7">
        <v>0</v>
      </c>
      <c r="F12" s="7">
        <v>0</v>
      </c>
      <c r="G12" s="7">
        <v>0</v>
      </c>
      <c r="H12" s="7">
        <v>70</v>
      </c>
      <c r="I12" s="7">
        <v>0</v>
      </c>
      <c r="J12" s="7">
        <v>0</v>
      </c>
      <c r="K12" s="7">
        <v>0</v>
      </c>
      <c r="L12" s="7">
        <v>0</v>
      </c>
      <c r="M12" s="7">
        <v>3</v>
      </c>
      <c r="N12" s="7">
        <v>0</v>
      </c>
      <c r="O12" s="7">
        <v>0</v>
      </c>
    </row>
    <row r="13" spans="1:15" ht="18">
      <c r="A13" s="8" t="s">
        <v>41</v>
      </c>
      <c r="B13" s="7">
        <v>82</v>
      </c>
      <c r="C13" s="7">
        <v>4</v>
      </c>
      <c r="D13" s="7">
        <v>48</v>
      </c>
      <c r="E13" s="7">
        <v>6</v>
      </c>
      <c r="F13" s="7">
        <v>2</v>
      </c>
      <c r="G13" s="7">
        <v>12</v>
      </c>
      <c r="H13" s="7">
        <f>346-102</f>
        <v>244</v>
      </c>
      <c r="I13" s="7">
        <v>2</v>
      </c>
      <c r="J13" s="7">
        <v>0</v>
      </c>
      <c r="K13" s="7">
        <v>0</v>
      </c>
      <c r="L13" s="7">
        <v>0</v>
      </c>
      <c r="M13" s="7"/>
      <c r="N13" s="7">
        <v>0</v>
      </c>
      <c r="O13" s="7">
        <v>0</v>
      </c>
    </row>
    <row r="14" spans="1:15" ht="18">
      <c r="A14" s="9" t="s">
        <v>42</v>
      </c>
      <c r="B14" s="10">
        <v>1</v>
      </c>
      <c r="C14" s="7">
        <v>0</v>
      </c>
      <c r="D14" s="10">
        <v>1</v>
      </c>
      <c r="E14" s="7">
        <v>0</v>
      </c>
      <c r="F14" s="7">
        <v>0</v>
      </c>
      <c r="G14" s="7">
        <v>0</v>
      </c>
      <c r="H14" s="10">
        <v>2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</row>
    <row r="15" spans="1:15" ht="18">
      <c r="A15" s="9" t="s">
        <v>43</v>
      </c>
      <c r="B15" s="10">
        <v>7</v>
      </c>
      <c r="C15" s="7">
        <v>0</v>
      </c>
      <c r="D15" s="10">
        <v>2</v>
      </c>
      <c r="E15" s="7">
        <v>0</v>
      </c>
      <c r="F15" s="7">
        <v>0</v>
      </c>
      <c r="G15" s="7">
        <v>0</v>
      </c>
      <c r="H15" s="10">
        <v>14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</row>
    <row r="16" spans="1:15" ht="18">
      <c r="A16" s="8" t="s">
        <v>44</v>
      </c>
      <c r="B16" s="7">
        <v>9</v>
      </c>
      <c r="C16" s="7">
        <v>0</v>
      </c>
      <c r="D16" s="7">
        <v>3</v>
      </c>
      <c r="E16" s="7">
        <v>0</v>
      </c>
      <c r="F16" s="7">
        <v>0</v>
      </c>
      <c r="G16" s="7">
        <v>0</v>
      </c>
      <c r="H16" s="7">
        <v>18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</row>
    <row r="17" spans="1:15" ht="18">
      <c r="A17" s="13">
        <v>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</row>
    <row r="18" spans="1:15" ht="18">
      <c r="A18" s="13">
        <v>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97BB-3A94-433C-802C-E70C23C01D1C}">
  <dimension ref="A1:O15"/>
  <sheetViews>
    <sheetView zoomScale="85" zoomScaleNormal="85" workbookViewId="0">
      <selection activeCell="A8" sqref="A8"/>
    </sheetView>
  </sheetViews>
  <sheetFormatPr defaultRowHeight="14.4"/>
  <cols>
    <col min="1" max="1" width="22.5546875" bestFit="1" customWidth="1"/>
    <col min="14" max="14" width="11.6640625" customWidth="1"/>
    <col min="15" max="15" width="14.88671875" customWidth="1"/>
  </cols>
  <sheetData>
    <row r="1" spans="1:15">
      <c r="A1" s="17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7.399999999999999">
      <c r="A3" s="18" t="s">
        <v>1</v>
      </c>
      <c r="B3" s="18" t="s">
        <v>2</v>
      </c>
      <c r="C3" s="18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9" t="s">
        <v>4</v>
      </c>
      <c r="O3" s="19"/>
    </row>
    <row r="4" spans="1:15" ht="33.6">
      <c r="A4" s="18"/>
      <c r="B4" s="18"/>
      <c r="C4" s="18" t="s">
        <v>5</v>
      </c>
      <c r="D4" s="18"/>
      <c r="E4" s="18"/>
      <c r="F4" s="18"/>
      <c r="G4" s="18"/>
      <c r="H4" s="18" t="s">
        <v>6</v>
      </c>
      <c r="I4" s="18" t="s">
        <v>7</v>
      </c>
      <c r="J4" s="18"/>
      <c r="K4" s="18"/>
      <c r="L4" s="2" t="s">
        <v>8</v>
      </c>
      <c r="M4" s="2" t="s">
        <v>9</v>
      </c>
      <c r="N4" s="3" t="s">
        <v>10</v>
      </c>
      <c r="O4" s="3" t="s">
        <v>11</v>
      </c>
    </row>
    <row r="5" spans="1:15" ht="33.6">
      <c r="A5" s="18"/>
      <c r="B5" s="18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18"/>
      <c r="I5" s="2">
        <v>60</v>
      </c>
      <c r="J5" s="2">
        <v>82</v>
      </c>
      <c r="K5" s="2">
        <v>100</v>
      </c>
      <c r="L5" s="2" t="s">
        <v>17</v>
      </c>
      <c r="M5" s="2">
        <v>12.7</v>
      </c>
      <c r="N5" s="4"/>
      <c r="O5" s="4"/>
    </row>
    <row r="6" spans="1:15" ht="17.399999999999999">
      <c r="A6" s="11" t="s">
        <v>0</v>
      </c>
      <c r="B6" s="1">
        <f t="shared" ref="B6:O6" si="0">B7+B9</f>
        <v>196</v>
      </c>
      <c r="C6" s="1">
        <f t="shared" si="0"/>
        <v>4</v>
      </c>
      <c r="D6" s="1">
        <f t="shared" si="0"/>
        <v>96</v>
      </c>
      <c r="E6" s="1">
        <f t="shared" si="0"/>
        <v>9</v>
      </c>
      <c r="F6" s="1">
        <f t="shared" si="0"/>
        <v>2</v>
      </c>
      <c r="G6" s="1">
        <f t="shared" si="0"/>
        <v>18</v>
      </c>
      <c r="H6" s="1">
        <f t="shared" si="0"/>
        <v>514</v>
      </c>
      <c r="I6" s="1">
        <f t="shared" si="0"/>
        <v>2</v>
      </c>
      <c r="J6" s="1">
        <f t="shared" si="0"/>
        <v>1</v>
      </c>
      <c r="K6" s="1">
        <f t="shared" si="0"/>
        <v>0</v>
      </c>
      <c r="L6" s="1">
        <f t="shared" si="0"/>
        <v>3</v>
      </c>
      <c r="M6" s="1">
        <f t="shared" si="0"/>
        <v>3</v>
      </c>
      <c r="N6" s="1">
        <f t="shared" si="0"/>
        <v>0</v>
      </c>
      <c r="O6" s="1">
        <f t="shared" si="0"/>
        <v>0</v>
      </c>
    </row>
    <row r="7" spans="1:15" ht="17.399999999999999">
      <c r="A7" s="5" t="s">
        <v>18</v>
      </c>
      <c r="B7" s="5">
        <f>B8</f>
        <v>111</v>
      </c>
      <c r="C7" s="5">
        <f t="shared" ref="C7:O7" si="1">C8</f>
        <v>4</v>
      </c>
      <c r="D7" s="5">
        <f t="shared" si="1"/>
        <v>68</v>
      </c>
      <c r="E7" s="5">
        <f t="shared" si="1"/>
        <v>9</v>
      </c>
      <c r="F7" s="5">
        <f t="shared" si="1"/>
        <v>2</v>
      </c>
      <c r="G7" s="5">
        <f t="shared" si="1"/>
        <v>18</v>
      </c>
      <c r="H7" s="5">
        <f t="shared" si="1"/>
        <v>346</v>
      </c>
      <c r="I7" s="5">
        <f t="shared" si="1"/>
        <v>2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</row>
    <row r="8" spans="1:15" ht="18">
      <c r="A8" s="6" t="s">
        <v>58</v>
      </c>
      <c r="B8" s="7">
        <v>111</v>
      </c>
      <c r="C8" s="7">
        <v>4</v>
      </c>
      <c r="D8" s="7">
        <v>68</v>
      </c>
      <c r="E8" s="7">
        <v>9</v>
      </c>
      <c r="F8" s="7">
        <v>2</v>
      </c>
      <c r="G8" s="7">
        <v>18</v>
      </c>
      <c r="H8" s="7">
        <v>346</v>
      </c>
      <c r="I8" s="7">
        <v>2</v>
      </c>
      <c r="J8" s="7">
        <v>0</v>
      </c>
      <c r="K8" s="7">
        <v>0</v>
      </c>
      <c r="L8" s="7">
        <v>0</v>
      </c>
      <c r="M8" s="7">
        <v>0</v>
      </c>
      <c r="N8" s="4">
        <v>0</v>
      </c>
      <c r="O8" s="4">
        <v>0</v>
      </c>
    </row>
    <row r="9" spans="1:15" ht="17.399999999999999">
      <c r="A9" s="5" t="s">
        <v>19</v>
      </c>
      <c r="B9" s="5">
        <f t="shared" ref="B9:O9" si="2">SUM(B10:B15)</f>
        <v>85</v>
      </c>
      <c r="C9" s="5">
        <f t="shared" si="2"/>
        <v>0</v>
      </c>
      <c r="D9" s="5">
        <f t="shared" si="2"/>
        <v>28</v>
      </c>
      <c r="E9" s="5">
        <f t="shared" si="2"/>
        <v>0</v>
      </c>
      <c r="F9" s="5">
        <f t="shared" si="2"/>
        <v>0</v>
      </c>
      <c r="G9" s="5">
        <f t="shared" si="2"/>
        <v>0</v>
      </c>
      <c r="H9" s="5">
        <f t="shared" si="2"/>
        <v>168</v>
      </c>
      <c r="I9" s="5">
        <f t="shared" si="2"/>
        <v>0</v>
      </c>
      <c r="J9" s="5">
        <f t="shared" si="2"/>
        <v>1</v>
      </c>
      <c r="K9" s="5">
        <f t="shared" si="2"/>
        <v>0</v>
      </c>
      <c r="L9" s="5">
        <f t="shared" si="2"/>
        <v>3</v>
      </c>
      <c r="M9" s="5">
        <f t="shared" si="2"/>
        <v>3</v>
      </c>
      <c r="N9" s="5">
        <f t="shared" si="2"/>
        <v>0</v>
      </c>
      <c r="O9" s="5">
        <f t="shared" si="2"/>
        <v>0</v>
      </c>
    </row>
    <row r="10" spans="1:15" ht="18">
      <c r="A10" s="8" t="s">
        <v>48</v>
      </c>
      <c r="B10" s="7">
        <v>29</v>
      </c>
      <c r="C10" s="7">
        <v>0</v>
      </c>
      <c r="D10" s="7">
        <v>11</v>
      </c>
      <c r="E10" s="7">
        <v>0</v>
      </c>
      <c r="F10" s="7">
        <v>0</v>
      </c>
      <c r="G10" s="7">
        <v>0</v>
      </c>
      <c r="H10" s="7">
        <v>58</v>
      </c>
      <c r="I10" s="7">
        <v>0</v>
      </c>
      <c r="J10" s="7">
        <v>0</v>
      </c>
      <c r="K10" s="7">
        <v>0</v>
      </c>
      <c r="L10" s="7">
        <v>3</v>
      </c>
      <c r="M10" s="7">
        <v>0</v>
      </c>
      <c r="N10" s="7">
        <v>0</v>
      </c>
      <c r="O10" s="7">
        <v>0</v>
      </c>
    </row>
    <row r="11" spans="1:15" ht="18">
      <c r="A11" s="8" t="s">
        <v>49</v>
      </c>
      <c r="B11" s="7">
        <v>17</v>
      </c>
      <c r="C11" s="7">
        <v>0</v>
      </c>
      <c r="D11" s="7">
        <v>5</v>
      </c>
      <c r="E11" s="7">
        <v>0</v>
      </c>
      <c r="F11" s="7">
        <v>0</v>
      </c>
      <c r="G11" s="7">
        <v>0</v>
      </c>
      <c r="H11" s="7">
        <v>32</v>
      </c>
      <c r="I11" s="7">
        <v>0</v>
      </c>
      <c r="J11" s="7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</row>
    <row r="12" spans="1:15" ht="18">
      <c r="A12" s="8" t="s">
        <v>50</v>
      </c>
      <c r="B12" s="7">
        <v>35</v>
      </c>
      <c r="C12" s="7">
        <v>0</v>
      </c>
      <c r="D12" s="7">
        <v>11</v>
      </c>
      <c r="E12" s="7">
        <v>0</v>
      </c>
      <c r="F12" s="7">
        <v>0</v>
      </c>
      <c r="G12" s="7">
        <v>0</v>
      </c>
      <c r="H12" s="7">
        <v>70</v>
      </c>
      <c r="I12" s="7">
        <v>0</v>
      </c>
      <c r="J12" s="7">
        <v>0</v>
      </c>
      <c r="K12" s="7">
        <v>0</v>
      </c>
      <c r="L12" s="7">
        <v>0</v>
      </c>
      <c r="M12" s="7">
        <v>3</v>
      </c>
      <c r="N12" s="7">
        <v>0</v>
      </c>
      <c r="O12" s="7">
        <v>0</v>
      </c>
    </row>
    <row r="13" spans="1:15" ht="18">
      <c r="A13" s="8" t="s">
        <v>51</v>
      </c>
      <c r="B13" s="7">
        <v>4</v>
      </c>
      <c r="C13" s="7">
        <v>0</v>
      </c>
      <c r="D13" s="7">
        <v>1</v>
      </c>
      <c r="E13" s="7">
        <v>0</v>
      </c>
      <c r="F13" s="7">
        <v>0</v>
      </c>
      <c r="G13" s="7">
        <v>0</v>
      </c>
      <c r="H13" s="7">
        <v>8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</row>
    <row r="14" spans="1:15" ht="18">
      <c r="A14" s="13">
        <v>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</row>
    <row r="15" spans="1:15" ht="18">
      <c r="A15" s="15">
        <v>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AF2B-1A2E-4A17-84DD-83DCE7B22583}">
  <dimension ref="A1:O12"/>
  <sheetViews>
    <sheetView zoomScale="70" zoomScaleNormal="70" workbookViewId="0">
      <selection activeCell="B6" sqref="B6"/>
    </sheetView>
  </sheetViews>
  <sheetFormatPr defaultRowHeight="14.4"/>
  <cols>
    <col min="1" max="1" width="21.33203125" customWidth="1"/>
    <col min="14" max="14" width="14.109375" customWidth="1"/>
    <col min="15" max="15" width="15.109375" customWidth="1"/>
  </cols>
  <sheetData>
    <row r="1" spans="1:15" ht="15" customHeight="1">
      <c r="A1" s="17" t="s">
        <v>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8" customHeight="1">
      <c r="A3" s="18" t="s">
        <v>1</v>
      </c>
      <c r="B3" s="18" t="s">
        <v>2</v>
      </c>
      <c r="C3" s="18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9" t="s">
        <v>4</v>
      </c>
      <c r="O3" s="19"/>
    </row>
    <row r="4" spans="1:15" ht="33" customHeight="1">
      <c r="A4" s="18"/>
      <c r="B4" s="18"/>
      <c r="C4" s="18" t="s">
        <v>5</v>
      </c>
      <c r="D4" s="18"/>
      <c r="E4" s="18"/>
      <c r="F4" s="18"/>
      <c r="G4" s="18"/>
      <c r="H4" s="18" t="s">
        <v>6</v>
      </c>
      <c r="I4" s="18" t="s">
        <v>7</v>
      </c>
      <c r="J4" s="18"/>
      <c r="K4" s="18"/>
      <c r="L4" s="2" t="s">
        <v>8</v>
      </c>
      <c r="M4" s="2" t="s">
        <v>9</v>
      </c>
      <c r="N4" s="3" t="s">
        <v>10</v>
      </c>
      <c r="O4" s="3" t="s">
        <v>11</v>
      </c>
    </row>
    <row r="5" spans="1:15" ht="33.6">
      <c r="A5" s="18"/>
      <c r="B5" s="18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18"/>
      <c r="I5" s="2">
        <v>60</v>
      </c>
      <c r="J5" s="2">
        <v>82</v>
      </c>
      <c r="K5" s="2">
        <v>100</v>
      </c>
      <c r="L5" s="2" t="s">
        <v>17</v>
      </c>
      <c r="M5" s="2">
        <v>12.7</v>
      </c>
      <c r="N5" s="4"/>
      <c r="O5" s="4"/>
    </row>
    <row r="6" spans="1:15" ht="17.399999999999999">
      <c r="A6" s="11" t="s">
        <v>0</v>
      </c>
      <c r="B6" s="1">
        <f t="shared" ref="B6:O6" si="0">B9+B7</f>
        <v>113</v>
      </c>
      <c r="C6" s="1">
        <f t="shared" si="0"/>
        <v>4</v>
      </c>
      <c r="D6" s="1">
        <f t="shared" si="0"/>
        <v>69</v>
      </c>
      <c r="E6" s="1">
        <f t="shared" si="0"/>
        <v>9</v>
      </c>
      <c r="F6" s="1">
        <f t="shared" si="0"/>
        <v>2</v>
      </c>
      <c r="G6" s="1">
        <f t="shared" si="0"/>
        <v>18</v>
      </c>
      <c r="H6" s="1">
        <f t="shared" si="0"/>
        <v>350</v>
      </c>
      <c r="I6" s="1">
        <f t="shared" si="0"/>
        <v>2</v>
      </c>
      <c r="J6" s="1">
        <f t="shared" si="0"/>
        <v>0</v>
      </c>
      <c r="K6" s="1">
        <f t="shared" si="0"/>
        <v>0</v>
      </c>
      <c r="L6" s="1">
        <f t="shared" si="0"/>
        <v>0</v>
      </c>
      <c r="M6" s="1">
        <f t="shared" si="0"/>
        <v>0</v>
      </c>
      <c r="N6" s="1">
        <f t="shared" si="0"/>
        <v>0</v>
      </c>
      <c r="O6" s="1">
        <f t="shared" si="0"/>
        <v>0</v>
      </c>
    </row>
    <row r="7" spans="1:15" ht="17.399999999999999">
      <c r="A7" s="5" t="s">
        <v>18</v>
      </c>
      <c r="B7" s="5">
        <f>B8</f>
        <v>111</v>
      </c>
      <c r="C7" s="5">
        <f t="shared" ref="C7:O7" si="1">C8</f>
        <v>4</v>
      </c>
      <c r="D7" s="5">
        <f t="shared" si="1"/>
        <v>68</v>
      </c>
      <c r="E7" s="5">
        <f t="shared" si="1"/>
        <v>9</v>
      </c>
      <c r="F7" s="5">
        <f t="shared" si="1"/>
        <v>2</v>
      </c>
      <c r="G7" s="5">
        <f t="shared" si="1"/>
        <v>18</v>
      </c>
      <c r="H7" s="5">
        <f t="shared" si="1"/>
        <v>346</v>
      </c>
      <c r="I7" s="5">
        <f t="shared" si="1"/>
        <v>2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</row>
    <row r="8" spans="1:15" ht="18">
      <c r="A8" s="6" t="s">
        <v>34</v>
      </c>
      <c r="B8" s="7">
        <v>111</v>
      </c>
      <c r="C8" s="7">
        <v>4</v>
      </c>
      <c r="D8" s="7">
        <v>68</v>
      </c>
      <c r="E8" s="7">
        <v>9</v>
      </c>
      <c r="F8" s="7">
        <v>2</v>
      </c>
      <c r="G8" s="7">
        <v>18</v>
      </c>
      <c r="H8" s="7">
        <v>346</v>
      </c>
      <c r="I8" s="7">
        <v>2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</row>
    <row r="9" spans="1:15" ht="17.399999999999999">
      <c r="A9" s="5" t="s">
        <v>19</v>
      </c>
      <c r="B9" s="5">
        <f>SUM(B10:B12)</f>
        <v>2</v>
      </c>
      <c r="C9" s="5">
        <f t="shared" ref="C9:O9" si="2">SUM(C10:C12)</f>
        <v>0</v>
      </c>
      <c r="D9" s="5">
        <f t="shared" si="2"/>
        <v>1</v>
      </c>
      <c r="E9" s="5">
        <f t="shared" si="2"/>
        <v>0</v>
      </c>
      <c r="F9" s="5">
        <f t="shared" si="2"/>
        <v>0</v>
      </c>
      <c r="G9" s="5">
        <f t="shared" si="2"/>
        <v>0</v>
      </c>
      <c r="H9" s="5">
        <f t="shared" si="2"/>
        <v>4</v>
      </c>
      <c r="I9" s="5">
        <f t="shared" si="2"/>
        <v>0</v>
      </c>
      <c r="J9" s="5">
        <f t="shared" si="2"/>
        <v>0</v>
      </c>
      <c r="K9" s="5">
        <f t="shared" si="2"/>
        <v>0</v>
      </c>
      <c r="L9" s="5">
        <f t="shared" si="2"/>
        <v>0</v>
      </c>
      <c r="M9" s="5">
        <f t="shared" si="2"/>
        <v>0</v>
      </c>
      <c r="N9" s="5">
        <f t="shared" si="2"/>
        <v>0</v>
      </c>
      <c r="O9" s="5">
        <f t="shared" si="2"/>
        <v>0</v>
      </c>
    </row>
    <row r="10" spans="1:15" ht="18">
      <c r="A10" s="8" t="s">
        <v>35</v>
      </c>
      <c r="B10" s="7">
        <v>2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4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</row>
    <row r="11" spans="1:15" ht="18">
      <c r="A11" s="13">
        <v>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</row>
    <row r="12" spans="1:15" ht="18">
      <c r="A12" s="13">
        <v>0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EAC4-3B97-4E40-A163-90768A7E0057}">
  <dimension ref="A1:O19"/>
  <sheetViews>
    <sheetView tabSelected="1" topLeftCell="A3" zoomScaleNormal="100" workbookViewId="0">
      <selection activeCell="E19" sqref="E19"/>
    </sheetView>
  </sheetViews>
  <sheetFormatPr defaultRowHeight="14.4"/>
  <cols>
    <col min="1" max="1" width="21.109375" bestFit="1" customWidth="1"/>
    <col min="2" max="2" width="12.6640625" customWidth="1"/>
    <col min="14" max="15" width="15.109375" customWidth="1"/>
  </cols>
  <sheetData>
    <row r="1" spans="1:15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7.399999999999999">
      <c r="A3" s="18" t="s">
        <v>1</v>
      </c>
      <c r="B3" s="18" t="s">
        <v>2</v>
      </c>
      <c r="C3" s="18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9" t="s">
        <v>4</v>
      </c>
      <c r="O3" s="19"/>
    </row>
    <row r="4" spans="1:15" ht="33.6">
      <c r="A4" s="18"/>
      <c r="B4" s="18"/>
      <c r="C4" s="18" t="s">
        <v>5</v>
      </c>
      <c r="D4" s="18"/>
      <c r="E4" s="18"/>
      <c r="F4" s="18"/>
      <c r="G4" s="18"/>
      <c r="H4" s="18" t="s">
        <v>6</v>
      </c>
      <c r="I4" s="18" t="s">
        <v>7</v>
      </c>
      <c r="J4" s="18"/>
      <c r="K4" s="18"/>
      <c r="L4" s="2" t="s">
        <v>8</v>
      </c>
      <c r="M4" s="2" t="s">
        <v>9</v>
      </c>
      <c r="N4" s="3" t="s">
        <v>10</v>
      </c>
      <c r="O4" s="3" t="s">
        <v>11</v>
      </c>
    </row>
    <row r="5" spans="1:15" ht="33.6">
      <c r="A5" s="18"/>
      <c r="B5" s="18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18"/>
      <c r="I5" s="2">
        <v>60</v>
      </c>
      <c r="J5" s="2">
        <v>82</v>
      </c>
      <c r="K5" s="2">
        <v>100</v>
      </c>
      <c r="L5" s="2" t="s">
        <v>17</v>
      </c>
      <c r="M5" s="2">
        <v>12.7</v>
      </c>
      <c r="N5" s="4"/>
      <c r="O5" s="4"/>
    </row>
    <row r="6" spans="1:15" ht="17.399999999999999">
      <c r="A6" s="11" t="s">
        <v>0</v>
      </c>
      <c r="B6" s="1">
        <f>B7+B9</f>
        <v>384</v>
      </c>
      <c r="C6" s="1">
        <f t="shared" ref="C6:O6" si="0">C7+C9</f>
        <v>22</v>
      </c>
      <c r="D6" s="1">
        <f t="shared" si="0"/>
        <v>160</v>
      </c>
      <c r="E6" s="1">
        <f t="shared" si="0"/>
        <v>0</v>
      </c>
      <c r="F6" s="1">
        <f t="shared" si="0"/>
        <v>0</v>
      </c>
      <c r="G6" s="1">
        <f t="shared" si="0"/>
        <v>6</v>
      </c>
      <c r="H6" s="1">
        <f t="shared" si="0"/>
        <v>693</v>
      </c>
      <c r="I6" s="1">
        <f t="shared" si="0"/>
        <v>4</v>
      </c>
      <c r="J6" s="1">
        <f t="shared" si="0"/>
        <v>3</v>
      </c>
      <c r="K6" s="1">
        <f t="shared" si="0"/>
        <v>3</v>
      </c>
      <c r="L6" s="1">
        <f t="shared" si="0"/>
        <v>4</v>
      </c>
      <c r="M6" s="1">
        <f t="shared" si="0"/>
        <v>0</v>
      </c>
      <c r="N6" s="1">
        <f t="shared" si="0"/>
        <v>0</v>
      </c>
      <c r="O6" s="1">
        <f t="shared" si="0"/>
        <v>0</v>
      </c>
    </row>
    <row r="7" spans="1:15" ht="17.399999999999999">
      <c r="A7" s="5" t="s">
        <v>18</v>
      </c>
      <c r="B7" s="5">
        <f>B8</f>
        <v>104</v>
      </c>
      <c r="C7" s="5">
        <f t="shared" ref="C7:O7" si="1">C8</f>
        <v>6</v>
      </c>
      <c r="D7" s="5">
        <f t="shared" si="1"/>
        <v>53</v>
      </c>
      <c r="E7" s="5">
        <f t="shared" si="1"/>
        <v>0</v>
      </c>
      <c r="F7" s="5">
        <f t="shared" si="1"/>
        <v>0</v>
      </c>
      <c r="G7" s="5">
        <f t="shared" si="1"/>
        <v>6</v>
      </c>
      <c r="H7" s="5">
        <f t="shared" si="1"/>
        <v>208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</row>
    <row r="8" spans="1:15" ht="18">
      <c r="A8" s="12" t="s">
        <v>31</v>
      </c>
      <c r="B8" s="12">
        <v>104</v>
      </c>
      <c r="C8" s="12">
        <v>6</v>
      </c>
      <c r="D8" s="12">
        <v>53</v>
      </c>
      <c r="E8" s="7">
        <v>0</v>
      </c>
      <c r="F8" s="7">
        <v>0</v>
      </c>
      <c r="G8" s="12">
        <v>6</v>
      </c>
      <c r="H8" s="12">
        <v>208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</row>
    <row r="9" spans="1:15" ht="34.799999999999997">
      <c r="A9" s="5" t="s">
        <v>32</v>
      </c>
      <c r="B9" s="5">
        <f>SUM(B10:B19)</f>
        <v>280</v>
      </c>
      <c r="C9" s="5">
        <f t="shared" ref="C9:O9" si="2">SUM(C10:C19)</f>
        <v>16</v>
      </c>
      <c r="D9" s="5">
        <f t="shared" si="2"/>
        <v>107</v>
      </c>
      <c r="E9" s="5">
        <f t="shared" si="2"/>
        <v>0</v>
      </c>
      <c r="F9" s="5">
        <f t="shared" si="2"/>
        <v>0</v>
      </c>
      <c r="G9" s="5">
        <f t="shared" si="2"/>
        <v>0</v>
      </c>
      <c r="H9" s="5">
        <f t="shared" si="2"/>
        <v>485</v>
      </c>
      <c r="I9" s="5">
        <f t="shared" si="2"/>
        <v>4</v>
      </c>
      <c r="J9" s="5">
        <f t="shared" si="2"/>
        <v>3</v>
      </c>
      <c r="K9" s="5">
        <f t="shared" si="2"/>
        <v>3</v>
      </c>
      <c r="L9" s="5">
        <f t="shared" si="2"/>
        <v>4</v>
      </c>
      <c r="M9" s="5">
        <f t="shared" si="2"/>
        <v>0</v>
      </c>
      <c r="N9" s="5">
        <f t="shared" si="2"/>
        <v>0</v>
      </c>
      <c r="O9" s="5">
        <f t="shared" si="2"/>
        <v>0</v>
      </c>
    </row>
    <row r="10" spans="1:15" ht="18">
      <c r="A10" s="8" t="s">
        <v>52</v>
      </c>
      <c r="B10" s="7">
        <v>74</v>
      </c>
      <c r="C10" s="7">
        <v>4</v>
      </c>
      <c r="D10" s="7">
        <v>30</v>
      </c>
      <c r="E10" s="7">
        <v>0</v>
      </c>
      <c r="F10" s="4">
        <v>0</v>
      </c>
      <c r="G10" s="7">
        <v>0</v>
      </c>
      <c r="H10" s="7">
        <v>139</v>
      </c>
      <c r="I10" s="7">
        <v>4</v>
      </c>
      <c r="J10" s="7">
        <v>0</v>
      </c>
      <c r="K10" s="7">
        <v>0</v>
      </c>
      <c r="L10" s="7">
        <v>4</v>
      </c>
      <c r="M10" s="4">
        <v>0</v>
      </c>
      <c r="N10" s="4">
        <v>0</v>
      </c>
      <c r="O10" s="4">
        <v>0</v>
      </c>
    </row>
    <row r="11" spans="1:15" ht="18">
      <c r="A11" s="8" t="s">
        <v>53</v>
      </c>
      <c r="B11" s="7">
        <v>40</v>
      </c>
      <c r="C11" s="7">
        <v>4</v>
      </c>
      <c r="D11" s="7">
        <v>15</v>
      </c>
      <c r="E11" s="7">
        <v>0</v>
      </c>
      <c r="F11" s="4">
        <v>0</v>
      </c>
      <c r="G11" s="7">
        <v>0</v>
      </c>
      <c r="H11" s="7">
        <v>72</v>
      </c>
      <c r="I11" s="7">
        <v>0</v>
      </c>
      <c r="J11" s="7">
        <v>3</v>
      </c>
      <c r="K11" s="7">
        <v>0</v>
      </c>
      <c r="L11" s="4">
        <v>0</v>
      </c>
      <c r="M11" s="4">
        <v>0</v>
      </c>
      <c r="N11" s="4">
        <v>0</v>
      </c>
      <c r="O11" s="4">
        <v>0</v>
      </c>
    </row>
    <row r="12" spans="1:15" ht="18">
      <c r="A12" s="8" t="s">
        <v>54</v>
      </c>
      <c r="B12" s="7">
        <v>47</v>
      </c>
      <c r="C12" s="7">
        <v>4</v>
      </c>
      <c r="D12" s="7">
        <v>15</v>
      </c>
      <c r="E12" s="7">
        <v>0</v>
      </c>
      <c r="F12" s="4">
        <v>0</v>
      </c>
      <c r="G12" s="7">
        <v>0</v>
      </c>
      <c r="H12" s="7">
        <v>86</v>
      </c>
      <c r="I12" s="7">
        <v>0</v>
      </c>
      <c r="J12" s="7">
        <v>0</v>
      </c>
      <c r="K12" s="7">
        <v>3</v>
      </c>
      <c r="L12" s="4">
        <v>0</v>
      </c>
      <c r="M12" s="4">
        <v>0</v>
      </c>
      <c r="N12" s="4">
        <v>0</v>
      </c>
      <c r="O12" s="4">
        <v>0</v>
      </c>
    </row>
    <row r="13" spans="1:15" ht="18">
      <c r="A13" s="8" t="s">
        <v>55</v>
      </c>
      <c r="B13" s="7">
        <v>66</v>
      </c>
      <c r="C13" s="7">
        <v>4</v>
      </c>
      <c r="D13" s="7">
        <v>23</v>
      </c>
      <c r="E13" s="7">
        <v>0</v>
      </c>
      <c r="F13" s="4">
        <v>0</v>
      </c>
      <c r="G13" s="7">
        <v>0</v>
      </c>
      <c r="H13" s="7">
        <v>70</v>
      </c>
      <c r="I13" s="7">
        <v>0</v>
      </c>
      <c r="J13" s="7">
        <v>0</v>
      </c>
      <c r="K13" s="7">
        <v>0</v>
      </c>
      <c r="L13" s="4">
        <v>0</v>
      </c>
      <c r="M13" s="4">
        <v>0</v>
      </c>
      <c r="N13" s="4">
        <v>0</v>
      </c>
      <c r="O13" s="4">
        <v>0</v>
      </c>
    </row>
    <row r="14" spans="1:15" ht="18">
      <c r="A14" s="9" t="s">
        <v>56</v>
      </c>
      <c r="B14" s="10">
        <v>19</v>
      </c>
      <c r="C14" s="10">
        <v>0</v>
      </c>
      <c r="D14" s="10">
        <v>10</v>
      </c>
      <c r="E14" s="10">
        <v>0</v>
      </c>
      <c r="F14" s="4">
        <v>0</v>
      </c>
      <c r="G14" s="10">
        <v>0</v>
      </c>
      <c r="H14" s="10">
        <v>50</v>
      </c>
      <c r="I14" s="10">
        <v>0</v>
      </c>
      <c r="J14" s="10">
        <v>0</v>
      </c>
      <c r="K14" s="10">
        <v>0</v>
      </c>
      <c r="L14" s="4">
        <v>0</v>
      </c>
      <c r="M14" s="4">
        <v>0</v>
      </c>
      <c r="N14" s="4">
        <v>0</v>
      </c>
      <c r="O14" s="4">
        <v>0</v>
      </c>
    </row>
    <row r="15" spans="1:15" ht="18">
      <c r="A15" s="9" t="s">
        <v>27</v>
      </c>
      <c r="B15" s="10">
        <v>3</v>
      </c>
      <c r="C15" s="10">
        <v>0</v>
      </c>
      <c r="D15" s="10">
        <v>3</v>
      </c>
      <c r="E15" s="10">
        <v>0</v>
      </c>
      <c r="F15" s="4">
        <v>0</v>
      </c>
      <c r="G15" s="10">
        <v>0</v>
      </c>
      <c r="H15" s="10">
        <v>6</v>
      </c>
      <c r="I15" s="10">
        <v>0</v>
      </c>
      <c r="J15" s="10">
        <v>0</v>
      </c>
      <c r="K15" s="10">
        <v>0</v>
      </c>
      <c r="L15" s="4">
        <v>0</v>
      </c>
      <c r="M15" s="4">
        <v>0</v>
      </c>
      <c r="N15" s="4">
        <v>0</v>
      </c>
      <c r="O15" s="4">
        <v>0</v>
      </c>
    </row>
    <row r="16" spans="1:15" ht="18">
      <c r="A16" s="9" t="s">
        <v>57</v>
      </c>
      <c r="B16" s="10">
        <v>28</v>
      </c>
      <c r="C16" s="10">
        <v>0</v>
      </c>
      <c r="D16" s="10">
        <v>10</v>
      </c>
      <c r="E16" s="10">
        <v>0</v>
      </c>
      <c r="F16" s="4">
        <v>0</v>
      </c>
      <c r="G16" s="10">
        <v>0</v>
      </c>
      <c r="H16" s="10">
        <v>56</v>
      </c>
      <c r="I16" s="10">
        <v>0</v>
      </c>
      <c r="J16" s="10">
        <v>0</v>
      </c>
      <c r="K16" s="10">
        <v>0</v>
      </c>
      <c r="L16" s="4">
        <v>0</v>
      </c>
      <c r="M16" s="4">
        <v>0</v>
      </c>
      <c r="N16" s="4">
        <v>0</v>
      </c>
      <c r="O16" s="4">
        <v>0</v>
      </c>
    </row>
    <row r="17" spans="1:15" ht="18">
      <c r="A17" s="8" t="s">
        <v>28</v>
      </c>
      <c r="B17" s="7">
        <v>3</v>
      </c>
      <c r="C17" s="7">
        <v>0</v>
      </c>
      <c r="D17" s="7">
        <v>1</v>
      </c>
      <c r="E17" s="7">
        <v>0</v>
      </c>
      <c r="F17" s="4">
        <v>0</v>
      </c>
      <c r="G17" s="7">
        <v>0</v>
      </c>
      <c r="H17" s="7">
        <v>6</v>
      </c>
      <c r="I17" s="7">
        <v>0</v>
      </c>
      <c r="J17" s="7">
        <v>0</v>
      </c>
      <c r="K17" s="7">
        <v>0</v>
      </c>
      <c r="L17" s="4">
        <v>0</v>
      </c>
      <c r="M17" s="4">
        <v>0</v>
      </c>
      <c r="N17" s="4">
        <v>0</v>
      </c>
      <c r="O17" s="4">
        <v>0</v>
      </c>
    </row>
    <row r="18" spans="1:15" ht="18">
      <c r="A18" s="16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 ht="18">
      <c r="A19" s="16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</sheetData>
  <mergeCells count="8"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Nguyen Thi Thanh Huyen</cp:lastModifiedBy>
  <dcterms:created xsi:type="dcterms:W3CDTF">2025-12-02T15:26:00Z</dcterms:created>
  <dcterms:modified xsi:type="dcterms:W3CDTF">2026-03-08T20:44:14Z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EA5910DF0ACF4499B29763509B539F6C_12</vt:lpwstr>
  </property>
  <property fmtid="{D5CDD505-2E9C-101B-9397-08002B2CF9AE}" pid="3" name="KSOProductBuildVer">
    <vt:lpwstr>1033-12.2.0.23196</vt:lpwstr>
  </property>
</Properties>
</file>