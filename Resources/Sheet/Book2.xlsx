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780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<sst xmlns="http://schemas.openxmlformats.org/spreadsheetml/2006/main" count="133" uniqueCount="67">
  <si>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</si>
  <si>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</si>
  <si>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</si>
  <si>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</si>
  <si>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</si>
  <si>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</si>
  <si>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</si>
  <si>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</si>
  <si>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</si>
  <si>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</si>
  <si>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</si>
  <si>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</si>
  <si>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</si>
  <si>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</si>
  <si>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</si>
  <si>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</si>
  <si>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</si>
  <si>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</si>
  <si>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</si>
  <si>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</si>
  <si>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</si>
  <si>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</si>
  <si>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</si>
  <si>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</si>
  <si>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</si>
  <si>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</si>
  <si>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</si>
  <si>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</si>
  <si>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</si>
  <si>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</si>
  <si>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</si>
  <si>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</si>
  <si>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</si>
  <si>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</si>
  <si>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</si>
  <si>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</si>
  <si>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</si>
  <si>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</si>
  <si>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</si>
  <si>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</si>
  <si>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</si>
  <si>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</si>
  <si>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</si>
  <si>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</si>
  <si>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</si>
  <si>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</si>
  <si>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</si>
  <si>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</si>
  <si>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</si>
  <si>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</si>
  <si>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</si>
  <si>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Trl</t>
  </si>
  <si>
    <t>DL</t>
  </si>
  <si>
    <t>Quả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</si>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</sst>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8"/>
      <color theme="1"/>
      <name val="#9Slide02 Tieu de rat dai 01"/>
      <charset val="163"/>
    </font>
    <font>
      <b/>
      <sz val="7"/>
      <color theme="1"/>
      <name val="Times New Roman"/>
      <charset val="163"/>
    </font>
    <font>
      <sz val="7"/>
      <color theme="1"/>
      <name val="Times New Roman"/>
      <charset val="163"/>
    </font>
    <font>
      <sz val="7"/>
      <name val="Times New Roman"/>
      <charset val="163"/>
    </font>
    <font>
      <sz val="7"/>
      <color theme="1"/>
      <name val="Times New Roman"/>
      <charset val="134"/>
    </font>
    <font>
      <sz val="7"/>
      <color theme="1"/>
      <name val="Calibri"/>
      <charset val="163"/>
      <scheme val="minor"/>
    </font>
    <font>
      <b/>
      <sz val="7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8"/>
      <color theme="1"/>
      <name val="Times New Roman"/>
      <charset val="163"/>
    </font>
    <font>
      <sz val="8"/>
      <color theme="1"/>
      <name val="Times New Roman"/>
      <charset val="163"/>
    </font>
    <font>
      <sz val="8"/>
      <name val="Times New Roman"/>
      <charset val="163"/>
    </font>
    <font>
      <b/>
      <sz val="8"/>
      <color rgb="FFFF0000"/>
      <name val="Times New Roman"/>
      <charset val="163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8" borderId="1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9" borderId="16" applyNumberFormat="0" applyAlignment="0" applyProtection="0">
      <alignment vertical="center"/>
    </xf>
    <xf numFmtId="0" fontId="25" fillId="10" borderId="17" applyNumberFormat="0" applyAlignment="0" applyProtection="0">
      <alignment vertical="center"/>
    </xf>
    <xf numFmtId="0" fontId="26" fillId="10" borderId="16" applyNumberFormat="0" applyAlignment="0" applyProtection="0">
      <alignment vertical="center"/>
    </xf>
    <xf numFmtId="0" fontId="27" fillId="11" borderId="18" applyNumberFormat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/>
    </xf>
    <xf numFmtId="0" fontId="7" fillId="5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justify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0" fontId="13" fillId="0" borderId="5" xfId="0" applyFont="1" applyBorder="1" applyAlignment="1">
      <alignment horizontal="center" vertical="center" wrapText="1"/>
    </xf>
    <xf numFmtId="0" fontId="14" fillId="7" borderId="5" xfId="0" applyFont="1" applyFill="1" applyBorder="1" applyAlignment="1">
      <alignment vertical="center"/>
    </xf>
    <xf numFmtId="0" fontId="14" fillId="7" borderId="5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O13" sqref="O13"/>
    </sheetView>
  </sheetViews>
  <sheetFormatPr defaultColWidth="9" defaultRowHeight="15"/>
  <sheetData>
    <row r="1" spans="1:1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18"/>
    </row>
    <row r="2" spans="1:13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19"/>
    </row>
    <row r="3" spans="1:13">
      <c r="A3" s="5" t="s">
        <v>1</v>
      </c>
      <c r="B3" s="5" t="s">
        <v>2</v>
      </c>
      <c r="C3" s="5" t="s">
        <v>3</v>
      </c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>
      <c r="A4" s="5"/>
      <c r="B4" s="5"/>
      <c r="C4" s="5" t="s">
        <v>4</v>
      </c>
      <c r="D4" s="5"/>
      <c r="E4" s="5"/>
      <c r="F4" s="5"/>
      <c r="G4" s="5"/>
      <c r="H4" s="5" t="s">
        <v>5</v>
      </c>
      <c r="I4" s="5" t="s">
        <v>6</v>
      </c>
      <c r="J4" s="5"/>
      <c r="K4" s="5"/>
      <c r="L4" s="5" t="s">
        <v>7</v>
      </c>
      <c r="M4" s="5" t="s">
        <v>8</v>
      </c>
    </row>
    <row r="5" spans="1:13">
      <c r="A5" s="5"/>
      <c r="B5" s="5"/>
      <c r="C5" s="5" t="s">
        <v>9</v>
      </c>
      <c r="D5" s="5" t="s">
        <v>10</v>
      </c>
      <c r="E5" s="5" t="s">
        <v>11</v>
      </c>
      <c r="F5" s="5" t="s">
        <v>12</v>
      </c>
      <c r="G5" s="5" t="s">
        <v>13</v>
      </c>
      <c r="H5" s="5"/>
      <c r="I5" s="5">
        <v>60</v>
      </c>
      <c r="J5" s="5">
        <v>82</v>
      </c>
      <c r="K5" s="5">
        <v>100</v>
      </c>
      <c r="L5" s="5" t="s">
        <v>14</v>
      </c>
      <c r="M5" s="5">
        <v>12.7</v>
      </c>
    </row>
    <row r="6" ht="21" spans="1:13">
      <c r="A6" s="44" t="s">
        <v>15</v>
      </c>
      <c r="B6" s="44"/>
      <c r="C6" s="44"/>
      <c r="D6" s="44"/>
      <c r="E6" s="44"/>
      <c r="F6" s="44"/>
      <c r="G6" s="44"/>
      <c r="H6" s="44"/>
      <c r="I6" s="44">
        <f>I7</f>
        <v>0</v>
      </c>
      <c r="J6" s="44">
        <f t="shared" ref="J6:M6" si="0">J7</f>
        <v>0</v>
      </c>
      <c r="K6" s="44">
        <f t="shared" si="0"/>
        <v>0</v>
      </c>
      <c r="L6" s="44">
        <f t="shared" si="0"/>
        <v>0</v>
      </c>
      <c r="M6" s="44">
        <f t="shared" si="0"/>
        <v>0</v>
      </c>
    </row>
    <row r="7" spans="1:13">
      <c r="A7" s="45" t="s">
        <v>16</v>
      </c>
      <c r="B7" s="46">
        <v>1</v>
      </c>
      <c r="C7" s="46">
        <v>1</v>
      </c>
      <c r="D7" s="46">
        <v>1</v>
      </c>
      <c r="E7" s="46"/>
      <c r="F7" s="46"/>
      <c r="G7" s="46"/>
      <c r="H7" s="46"/>
      <c r="I7" s="46"/>
      <c r="J7" s="46"/>
      <c r="K7" s="46"/>
      <c r="L7" s="46"/>
      <c r="M7" s="46"/>
    </row>
    <row r="8" ht="21" spans="1:13">
      <c r="A8" s="44" t="s">
        <v>17</v>
      </c>
      <c r="B8" s="44">
        <f t="shared" ref="B8:M8" si="1">SUM(B9:B16)</f>
        <v>0</v>
      </c>
      <c r="C8" s="44">
        <f t="shared" si="1"/>
        <v>0</v>
      </c>
      <c r="D8" s="44">
        <f t="shared" si="1"/>
        <v>0</v>
      </c>
      <c r="E8" s="44">
        <f t="shared" si="1"/>
        <v>0</v>
      </c>
      <c r="F8" s="44">
        <f t="shared" si="1"/>
        <v>0</v>
      </c>
      <c r="G8" s="44">
        <f t="shared" si="1"/>
        <v>0</v>
      </c>
      <c r="H8" s="44">
        <f t="shared" si="1"/>
        <v>0</v>
      </c>
      <c r="I8" s="44">
        <f t="shared" si="1"/>
        <v>0</v>
      </c>
      <c r="J8" s="44">
        <f t="shared" si="1"/>
        <v>0</v>
      </c>
      <c r="K8" s="44">
        <f t="shared" si="1"/>
        <v>0</v>
      </c>
      <c r="L8" s="44">
        <f t="shared" si="1"/>
        <v>0</v>
      </c>
      <c r="M8" s="44">
        <f t="shared" si="1"/>
        <v>0</v>
      </c>
    </row>
    <row r="9" spans="1:13">
      <c r="A9" s="47" t="s">
        <v>18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</row>
    <row r="10" spans="1:13">
      <c r="A10" s="47" t="s">
        <v>19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</row>
    <row r="11" ht="22.5" spans="1:13">
      <c r="A11" s="47" t="s">
        <v>20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</row>
    <row r="12" spans="1:13">
      <c r="A12" s="47" t="s">
        <v>21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</row>
    <row r="13" spans="1:13">
      <c r="A13" s="48" t="s">
        <v>22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</row>
    <row r="14" ht="22.5" spans="1:13">
      <c r="A14" s="48" t="s">
        <v>23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</row>
    <row r="15" ht="22.5" spans="1:13">
      <c r="A15" s="48" t="s">
        <v>24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</row>
    <row r="16" spans="1:13">
      <c r="A16" s="47" t="s">
        <v>25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</row>
    <row r="17" spans="1:13">
      <c r="A17" s="50" t="s">
        <v>26</v>
      </c>
      <c r="B17" s="51">
        <f t="shared" ref="B17:M17" si="2">B7+B8</f>
        <v>1</v>
      </c>
      <c r="C17" s="51">
        <f t="shared" si="2"/>
        <v>1</v>
      </c>
      <c r="D17" s="51">
        <f t="shared" si="2"/>
        <v>1</v>
      </c>
      <c r="E17" s="51">
        <f t="shared" si="2"/>
        <v>0</v>
      </c>
      <c r="F17" s="51">
        <f t="shared" si="2"/>
        <v>0</v>
      </c>
      <c r="G17" s="51">
        <f t="shared" si="2"/>
        <v>0</v>
      </c>
      <c r="H17" s="51">
        <f t="shared" si="2"/>
        <v>0</v>
      </c>
      <c r="I17" s="51">
        <f t="shared" si="2"/>
        <v>0</v>
      </c>
      <c r="J17" s="51">
        <f t="shared" si="2"/>
        <v>0</v>
      </c>
      <c r="K17" s="51">
        <f t="shared" si="2"/>
        <v>0</v>
      </c>
      <c r="L17" s="51">
        <f t="shared" si="2"/>
        <v>0</v>
      </c>
      <c r="M17" s="51">
        <f t="shared" si="2"/>
        <v>0</v>
      </c>
    </row>
  </sheetData>
  <mergeCells count="7">
    <mergeCell ref="C3:M3"/>
    <mergeCell ref="C4:G4"/>
    <mergeCell ref="I4:K4"/>
    <mergeCell ref="A3:A5"/>
    <mergeCell ref="B3:B5"/>
    <mergeCell ref="H4:H5"/>
    <mergeCell ref="A1:M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N3" sqref="N3"/>
    </sheetView>
  </sheetViews>
  <sheetFormatPr defaultColWidth="9" defaultRowHeight="15"/>
  <sheetData>
    <row r="1" spans="1:13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18"/>
    </row>
    <row r="2" spans="1:13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19"/>
    </row>
    <row r="3" spans="1:13">
      <c r="A3" s="5" t="s">
        <v>1</v>
      </c>
      <c r="B3" s="5" t="s">
        <v>2</v>
      </c>
      <c r="C3" s="5" t="s">
        <v>3</v>
      </c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>
      <c r="A4" s="5"/>
      <c r="B4" s="5"/>
      <c r="C4" s="5" t="s">
        <v>4</v>
      </c>
      <c r="D4" s="5"/>
      <c r="E4" s="5"/>
      <c r="F4" s="5"/>
      <c r="G4" s="5"/>
      <c r="H4" s="5" t="s">
        <v>5</v>
      </c>
      <c r="I4" s="5" t="s">
        <v>6</v>
      </c>
      <c r="J4" s="5"/>
      <c r="K4" s="5"/>
      <c r="L4" s="5" t="s">
        <v>7</v>
      </c>
      <c r="M4" s="5" t="s">
        <v>8</v>
      </c>
    </row>
    <row r="5" spans="1:13">
      <c r="A5" s="5"/>
      <c r="B5" s="5"/>
      <c r="C5" s="5" t="s">
        <v>9</v>
      </c>
      <c r="D5" s="5" t="s">
        <v>10</v>
      </c>
      <c r="E5" s="5" t="s">
        <v>11</v>
      </c>
      <c r="F5" s="5" t="s">
        <v>12</v>
      </c>
      <c r="G5" s="5" t="s">
        <v>13</v>
      </c>
      <c r="H5" s="5"/>
      <c r="I5" s="5">
        <v>60</v>
      </c>
      <c r="J5" s="5">
        <v>82</v>
      </c>
      <c r="K5" s="5">
        <v>100</v>
      </c>
      <c r="L5" s="5" t="s">
        <v>14</v>
      </c>
      <c r="M5" s="5">
        <v>12.7</v>
      </c>
    </row>
    <row r="6" ht="21" spans="1:13">
      <c r="A6" s="6" t="s">
        <v>15</v>
      </c>
      <c r="B6" s="7">
        <f>B7</f>
        <v>546</v>
      </c>
      <c r="C6" s="7">
        <f t="shared" ref="C6:M6" si="0">C7</f>
        <v>22</v>
      </c>
      <c r="D6" s="7">
        <f t="shared" si="0"/>
        <v>289</v>
      </c>
      <c r="E6" s="7">
        <f t="shared" si="0"/>
        <v>27</v>
      </c>
      <c r="F6" s="7">
        <f t="shared" si="0"/>
        <v>6</v>
      </c>
      <c r="G6" s="7">
        <f t="shared" si="0"/>
        <v>54</v>
      </c>
      <c r="H6" s="7">
        <f t="shared" si="0"/>
        <v>1444</v>
      </c>
      <c r="I6" s="7">
        <f t="shared" si="0"/>
        <v>6</v>
      </c>
      <c r="J6" s="7">
        <f t="shared" si="0"/>
        <v>4</v>
      </c>
      <c r="K6" s="7">
        <f t="shared" si="0"/>
        <v>0</v>
      </c>
      <c r="L6" s="7">
        <f t="shared" si="0"/>
        <v>3</v>
      </c>
      <c r="M6" s="7">
        <f t="shared" si="0"/>
        <v>3</v>
      </c>
    </row>
    <row r="7" spans="1:13">
      <c r="A7" s="8" t="s">
        <v>28</v>
      </c>
      <c r="B7" s="9">
        <v>546</v>
      </c>
      <c r="C7" s="9">
        <v>22</v>
      </c>
      <c r="D7" s="9">
        <v>289</v>
      </c>
      <c r="E7" s="9">
        <v>27</v>
      </c>
      <c r="F7" s="9">
        <v>6</v>
      </c>
      <c r="G7" s="9">
        <v>54</v>
      </c>
      <c r="H7" s="9">
        <v>1444</v>
      </c>
      <c r="I7" s="9">
        <v>6</v>
      </c>
      <c r="J7" s="9">
        <v>4</v>
      </c>
      <c r="K7" s="9">
        <v>0</v>
      </c>
      <c r="L7" s="9">
        <v>3</v>
      </c>
      <c r="M7" s="9">
        <v>3</v>
      </c>
    </row>
    <row r="8" ht="21" spans="1:13">
      <c r="A8" s="6" t="s">
        <v>29</v>
      </c>
      <c r="B8" s="7">
        <f>SUM(B9:B18)</f>
        <v>335</v>
      </c>
      <c r="C8" s="7">
        <f t="shared" ref="C8:M8" si="1">SUM(C9:C18)</f>
        <v>14</v>
      </c>
      <c r="D8" s="7">
        <f t="shared" si="1"/>
        <v>150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629</v>
      </c>
      <c r="I8" s="7">
        <f t="shared" si="1"/>
        <v>0</v>
      </c>
      <c r="J8" s="7">
        <f t="shared" si="1"/>
        <v>0</v>
      </c>
      <c r="K8" s="7">
        <f t="shared" si="1"/>
        <v>4</v>
      </c>
      <c r="L8" s="7">
        <f t="shared" si="1"/>
        <v>6</v>
      </c>
      <c r="M8" s="7">
        <f t="shared" si="1"/>
        <v>6</v>
      </c>
    </row>
    <row r="9" spans="1:13">
      <c r="A9" s="8" t="s">
        <v>30</v>
      </c>
      <c r="B9" s="9">
        <v>74</v>
      </c>
      <c r="C9" s="9">
        <v>4</v>
      </c>
      <c r="D9" s="9">
        <v>30</v>
      </c>
      <c r="E9" s="9"/>
      <c r="F9" s="9"/>
      <c r="G9" s="9"/>
      <c r="H9" s="9">
        <v>139</v>
      </c>
      <c r="I9" s="9"/>
      <c r="J9" s="9"/>
      <c r="K9" s="9">
        <v>4</v>
      </c>
      <c r="L9" s="9"/>
      <c r="M9" s="9"/>
    </row>
    <row r="10" spans="1:13">
      <c r="A10" s="8" t="s">
        <v>31</v>
      </c>
      <c r="B10" s="9">
        <v>69</v>
      </c>
      <c r="C10" s="9">
        <v>4</v>
      </c>
      <c r="D10" s="9">
        <v>26</v>
      </c>
      <c r="E10" s="9"/>
      <c r="F10" s="9"/>
      <c r="G10" s="9"/>
      <c r="H10" s="9">
        <v>130</v>
      </c>
      <c r="I10" s="9"/>
      <c r="J10" s="9"/>
      <c r="K10" s="9"/>
      <c r="L10" s="9">
        <v>6</v>
      </c>
      <c r="M10" s="9"/>
    </row>
    <row r="11" ht="21" spans="1:13">
      <c r="A11" s="8" t="s">
        <v>32</v>
      </c>
      <c r="B11" s="9">
        <v>82</v>
      </c>
      <c r="C11" s="9">
        <v>4</v>
      </c>
      <c r="D11" s="9">
        <v>26</v>
      </c>
      <c r="E11" s="9"/>
      <c r="F11" s="9"/>
      <c r="G11" s="9"/>
      <c r="H11" s="9">
        <v>156</v>
      </c>
      <c r="I11" s="9"/>
      <c r="J11" s="9"/>
      <c r="K11" s="9"/>
      <c r="L11" s="9"/>
      <c r="M11" s="9">
        <v>6</v>
      </c>
    </row>
    <row r="12" spans="1:13">
      <c r="A12" s="8" t="s">
        <v>33</v>
      </c>
      <c r="B12" s="9">
        <v>28</v>
      </c>
      <c r="C12" s="9"/>
      <c r="D12" s="9">
        <v>10</v>
      </c>
      <c r="E12" s="9"/>
      <c r="F12" s="9"/>
      <c r="G12" s="9"/>
      <c r="H12" s="9">
        <v>56</v>
      </c>
      <c r="I12" s="9"/>
      <c r="J12" s="9"/>
      <c r="K12" s="9"/>
      <c r="L12" s="9"/>
      <c r="M12" s="9"/>
    </row>
    <row r="13" spans="1:13">
      <c r="A13" s="10" t="s">
        <v>34</v>
      </c>
      <c r="B13" s="11">
        <v>3</v>
      </c>
      <c r="C13" s="11"/>
      <c r="D13" s="11">
        <v>0</v>
      </c>
      <c r="E13" s="11"/>
      <c r="F13" s="11"/>
      <c r="G13" s="11"/>
      <c r="H13" s="11">
        <v>0</v>
      </c>
      <c r="I13" s="11"/>
      <c r="J13" s="11"/>
      <c r="K13" s="11"/>
      <c r="L13" s="11"/>
      <c r="M13" s="11"/>
    </row>
    <row r="14" spans="1:13">
      <c r="A14" s="10" t="s">
        <v>35</v>
      </c>
      <c r="B14" s="11">
        <v>9</v>
      </c>
      <c r="C14" s="11"/>
      <c r="D14" s="11">
        <v>2</v>
      </c>
      <c r="E14" s="11"/>
      <c r="F14" s="11"/>
      <c r="G14" s="11"/>
      <c r="H14" s="11">
        <v>8</v>
      </c>
      <c r="I14" s="11"/>
      <c r="J14" s="11"/>
      <c r="K14" s="11"/>
      <c r="L14" s="11"/>
      <c r="M14" s="11"/>
    </row>
    <row r="15" spans="1:13">
      <c r="A15" s="10" t="s">
        <v>36</v>
      </c>
      <c r="B15" s="11">
        <v>26</v>
      </c>
      <c r="C15" s="11">
        <v>2</v>
      </c>
      <c r="D15" s="11">
        <v>24</v>
      </c>
      <c r="E15" s="11"/>
      <c r="F15" s="11"/>
      <c r="G15" s="11"/>
      <c r="H15" s="11">
        <v>52</v>
      </c>
      <c r="I15" s="11"/>
      <c r="J15" s="11"/>
      <c r="K15" s="11"/>
      <c r="L15" s="11"/>
      <c r="M15" s="11"/>
    </row>
    <row r="16" spans="1:13">
      <c r="A16" s="8" t="s">
        <v>37</v>
      </c>
      <c r="B16" s="9">
        <v>32</v>
      </c>
      <c r="C16" s="9"/>
      <c r="D16" s="9">
        <v>22</v>
      </c>
      <c r="E16" s="9"/>
      <c r="F16" s="9"/>
      <c r="G16" s="9"/>
      <c r="H16" s="9">
        <v>64</v>
      </c>
      <c r="I16" s="9"/>
      <c r="J16" s="9"/>
      <c r="K16" s="9"/>
      <c r="L16" s="9"/>
      <c r="M16" s="9"/>
    </row>
    <row r="17" spans="1:13">
      <c r="A17" s="12" t="s">
        <v>38</v>
      </c>
      <c r="B17" s="13">
        <v>3</v>
      </c>
      <c r="C17" s="13"/>
      <c r="D17" s="13">
        <v>1</v>
      </c>
      <c r="E17" s="13"/>
      <c r="F17" s="13"/>
      <c r="G17" s="13"/>
      <c r="H17" s="13">
        <v>6</v>
      </c>
      <c r="I17" s="13"/>
      <c r="J17" s="13"/>
      <c r="K17" s="13"/>
      <c r="L17" s="13"/>
      <c r="M17" s="13"/>
    </row>
    <row r="18" spans="1:13">
      <c r="A18" s="14" t="s">
        <v>39</v>
      </c>
      <c r="B18" s="15">
        <v>9</v>
      </c>
      <c r="C18" s="15"/>
      <c r="D18" s="15">
        <v>9</v>
      </c>
      <c r="E18" s="15"/>
      <c r="F18" s="15"/>
      <c r="G18" s="15"/>
      <c r="H18" s="15">
        <v>18</v>
      </c>
      <c r="I18" s="15"/>
      <c r="J18" s="15"/>
      <c r="K18" s="15"/>
      <c r="L18" s="15"/>
      <c r="M18" s="15"/>
    </row>
    <row r="19" spans="1:13">
      <c r="A19" s="16" t="s">
        <v>26</v>
      </c>
      <c r="B19" s="17">
        <f>B6+B8</f>
        <v>881</v>
      </c>
      <c r="C19" s="17">
        <f t="shared" ref="C19:M19" si="2">C6+C8</f>
        <v>36</v>
      </c>
      <c r="D19" s="17">
        <f t="shared" si="2"/>
        <v>439</v>
      </c>
      <c r="E19" s="17">
        <f t="shared" si="2"/>
        <v>27</v>
      </c>
      <c r="F19" s="17">
        <f t="shared" si="2"/>
        <v>6</v>
      </c>
      <c r="G19" s="17">
        <f t="shared" si="2"/>
        <v>54</v>
      </c>
      <c r="H19" s="17">
        <f t="shared" si="2"/>
        <v>2073</v>
      </c>
      <c r="I19" s="17">
        <f t="shared" si="2"/>
        <v>6</v>
      </c>
      <c r="J19" s="17">
        <f t="shared" si="2"/>
        <v>4</v>
      </c>
      <c r="K19" s="17">
        <f t="shared" si="2"/>
        <v>4</v>
      </c>
      <c r="L19" s="17">
        <f t="shared" si="2"/>
        <v>9</v>
      </c>
      <c r="M19" s="17">
        <f t="shared" si="2"/>
        <v>9</v>
      </c>
    </row>
  </sheetData>
  <mergeCells count="7">
    <mergeCell ref="C3:M3"/>
    <mergeCell ref="C4:G4"/>
    <mergeCell ref="I4:K4"/>
    <mergeCell ref="A3:A5"/>
    <mergeCell ref="B3:B5"/>
    <mergeCell ref="H4:H5"/>
    <mergeCell ref="A1:M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I1" sqref="I$1:I$1048576"/>
    </sheetView>
  </sheetViews>
  <sheetFormatPr defaultColWidth="9" defaultRowHeight="15" outlineLevelRow="6"/>
  <sheetData>
    <row r="1" spans="1:9">
      <c r="A1" s="35" t="s">
        <v>40</v>
      </c>
      <c r="B1" s="35" t="s">
        <v>41</v>
      </c>
      <c r="C1" s="35" t="s">
        <v>42</v>
      </c>
      <c r="D1" s="36" t="s">
        <v>43</v>
      </c>
      <c r="E1" s="37"/>
      <c r="F1" s="37"/>
      <c r="G1" s="38"/>
      <c r="H1" s="39" t="s">
        <v>44</v>
      </c>
      <c r="I1" s="39" t="s">
        <v>45</v>
      </c>
    </row>
    <row r="2" spans="1:9">
      <c r="A2" s="40"/>
      <c r="B2" s="40"/>
      <c r="C2" s="40"/>
      <c r="D2" s="41" t="s">
        <v>46</v>
      </c>
      <c r="E2" s="41" t="s">
        <v>47</v>
      </c>
      <c r="F2" s="41" t="s">
        <v>48</v>
      </c>
      <c r="G2" s="41" t="s">
        <v>49</v>
      </c>
      <c r="H2" s="42"/>
      <c r="I2" s="42"/>
    </row>
    <row r="3" spans="1:9">
      <c r="A3" s="43" t="s">
        <v>9</v>
      </c>
      <c r="B3" s="43" t="s">
        <v>50</v>
      </c>
      <c r="C3" s="43">
        <v>36</v>
      </c>
      <c r="D3" s="31">
        <v>35</v>
      </c>
      <c r="E3" s="43">
        <f>D3/C3</f>
        <v>0.972222222222222</v>
      </c>
      <c r="F3" s="43">
        <f>G3/D3</f>
        <v>0.971428571428571</v>
      </c>
      <c r="G3" s="31">
        <v>34</v>
      </c>
      <c r="H3" s="31"/>
      <c r="I3" s="43">
        <f>C3-D3</f>
        <v>1</v>
      </c>
    </row>
    <row r="4" spans="1:9">
      <c r="A4" s="43" t="s">
        <v>10</v>
      </c>
      <c r="B4" s="43" t="s">
        <v>50</v>
      </c>
      <c r="C4" s="43">
        <v>439</v>
      </c>
      <c r="D4" s="31">
        <v>439</v>
      </c>
      <c r="E4" s="43">
        <f>D4/C4</f>
        <v>1</v>
      </c>
      <c r="F4" s="43">
        <f t="shared" ref="F4:F7" si="0">G4/D4</f>
        <v>0.997722095671982</v>
      </c>
      <c r="G4" s="31">
        <v>438</v>
      </c>
      <c r="H4" s="31"/>
      <c r="I4" s="43">
        <f>C4-D4</f>
        <v>0</v>
      </c>
    </row>
    <row r="5" spans="1:9">
      <c r="A5" s="43" t="s">
        <v>51</v>
      </c>
      <c r="B5" s="43" t="s">
        <v>50</v>
      </c>
      <c r="C5" s="43">
        <v>27</v>
      </c>
      <c r="D5" s="31">
        <v>27</v>
      </c>
      <c r="E5" s="43">
        <f>D5/C5</f>
        <v>1</v>
      </c>
      <c r="F5" s="43">
        <f t="shared" si="0"/>
        <v>1</v>
      </c>
      <c r="G5" s="31">
        <v>27</v>
      </c>
      <c r="H5" s="31"/>
      <c r="I5" s="43">
        <f t="shared" ref="I5:I7" si="1">C5-D5</f>
        <v>0</v>
      </c>
    </row>
    <row r="6" spans="1:9">
      <c r="A6" s="43" t="s">
        <v>52</v>
      </c>
      <c r="B6" s="43" t="s">
        <v>50</v>
      </c>
      <c r="C6" s="43">
        <v>6</v>
      </c>
      <c r="D6" s="31">
        <v>6</v>
      </c>
      <c r="E6" s="43">
        <f>D6/C6</f>
        <v>1</v>
      </c>
      <c r="F6" s="43">
        <f t="shared" si="0"/>
        <v>0.833333333333333</v>
      </c>
      <c r="G6" s="31">
        <v>5</v>
      </c>
      <c r="H6" s="31"/>
      <c r="I6" s="43">
        <f t="shared" si="1"/>
        <v>0</v>
      </c>
    </row>
    <row r="7" spans="1:9">
      <c r="A7" s="43" t="s">
        <v>5</v>
      </c>
      <c r="B7" s="43" t="s">
        <v>53</v>
      </c>
      <c r="C7" s="43">
        <v>2073</v>
      </c>
      <c r="D7" s="31">
        <v>2073</v>
      </c>
      <c r="E7" s="43">
        <f>D7/C7</f>
        <v>1</v>
      </c>
      <c r="F7" s="43">
        <f t="shared" si="0"/>
        <v>1</v>
      </c>
      <c r="G7" s="31">
        <v>2073</v>
      </c>
      <c r="H7" s="31"/>
      <c r="I7" s="43">
        <f t="shared" si="1"/>
        <v>0</v>
      </c>
    </row>
  </sheetData>
  <mergeCells count="6">
    <mergeCell ref="D1:G1"/>
    <mergeCell ref="A1:A2"/>
    <mergeCell ref="B1:B2"/>
    <mergeCell ref="C1:C2"/>
    <mergeCell ref="H1:H2"/>
    <mergeCell ref="I1:I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workbookViewId="0">
      <selection activeCell="H8" sqref="H8"/>
    </sheetView>
  </sheetViews>
  <sheetFormatPr defaultColWidth="9" defaultRowHeight="15" outlineLevelRow="6" outlineLevelCol="4"/>
  <sheetData>
    <row r="1" ht="24" spans="1:5">
      <c r="A1" s="32" t="s">
        <v>54</v>
      </c>
      <c r="B1" s="32" t="s">
        <v>41</v>
      </c>
      <c r="C1" s="29" t="s">
        <v>55</v>
      </c>
      <c r="D1" s="29" t="s">
        <v>43</v>
      </c>
      <c r="E1" s="29" t="s">
        <v>45</v>
      </c>
    </row>
    <row r="2" spans="1:5">
      <c r="A2" s="32" t="s">
        <v>56</v>
      </c>
      <c r="B2" s="32" t="s">
        <v>57</v>
      </c>
      <c r="C2" s="29"/>
      <c r="D2" s="29"/>
      <c r="E2" s="29"/>
    </row>
    <row r="3" spans="1:5">
      <c r="A3" s="29" t="s">
        <v>58</v>
      </c>
      <c r="B3" s="32" t="s">
        <v>57</v>
      </c>
      <c r="C3" s="33"/>
      <c r="D3" s="33"/>
      <c r="E3" s="33"/>
    </row>
    <row r="4" spans="1:5">
      <c r="A4" s="29" t="s">
        <v>59</v>
      </c>
      <c r="B4" s="32" t="s">
        <v>57</v>
      </c>
      <c r="C4" s="33"/>
      <c r="D4" s="33"/>
      <c r="E4" s="33"/>
    </row>
    <row r="5" spans="1:5">
      <c r="A5" s="29" t="s">
        <v>60</v>
      </c>
      <c r="B5" s="32" t="s">
        <v>57</v>
      </c>
      <c r="C5" s="33"/>
      <c r="D5" s="33"/>
      <c r="E5" s="33"/>
    </row>
    <row r="6" spans="1:5">
      <c r="A6" s="29" t="s">
        <v>61</v>
      </c>
      <c r="B6" s="32" t="s">
        <v>57</v>
      </c>
      <c r="C6" s="33"/>
      <c r="D6" s="33"/>
      <c r="E6" s="33"/>
    </row>
    <row r="7" spans="1:5">
      <c r="A7" s="29" t="s">
        <v>62</v>
      </c>
      <c r="B7" s="32" t="s">
        <v>57</v>
      </c>
      <c r="C7" s="33"/>
      <c r="D7" s="33"/>
      <c r="E7" s="33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P4" sqref="P4"/>
    </sheetView>
  </sheetViews>
  <sheetFormatPr defaultColWidth="9" defaultRowHeight="15" outlineLevelRow="6"/>
  <sheetData>
    <row r="1" spans="1:9">
      <c r="A1" s="20" t="s">
        <v>63</v>
      </c>
      <c r="B1" s="21" t="s">
        <v>54</v>
      </c>
      <c r="C1" s="21" t="s">
        <v>41</v>
      </c>
      <c r="D1" s="22" t="s">
        <v>44</v>
      </c>
      <c r="E1" s="23"/>
      <c r="F1" s="24"/>
      <c r="G1" s="25" t="s">
        <v>64</v>
      </c>
      <c r="H1" s="26"/>
      <c r="I1" s="34"/>
    </row>
    <row r="2" spans="1:9">
      <c r="A2" s="27"/>
      <c r="B2" s="28"/>
      <c r="C2" s="28"/>
      <c r="D2" s="29" t="s">
        <v>65</v>
      </c>
      <c r="E2" s="29" t="s">
        <v>66</v>
      </c>
      <c r="F2" s="29" t="s">
        <v>46</v>
      </c>
      <c r="G2" s="30" t="s">
        <v>65</v>
      </c>
      <c r="H2" s="30" t="s">
        <v>66</v>
      </c>
      <c r="I2" s="30" t="s">
        <v>46</v>
      </c>
    </row>
    <row r="3" spans="1:9">
      <c r="A3" s="31">
        <v>1</v>
      </c>
      <c r="B3" s="29"/>
      <c r="C3" s="32"/>
      <c r="D3" s="33"/>
      <c r="E3" s="33"/>
      <c r="F3" s="33"/>
      <c r="G3" s="31"/>
      <c r="H3" s="31"/>
      <c r="I3" s="31"/>
    </row>
    <row r="4" spans="1:9">
      <c r="A4" s="31">
        <v>2</v>
      </c>
      <c r="B4" s="29"/>
      <c r="C4" s="32"/>
      <c r="D4" s="33"/>
      <c r="E4" s="33"/>
      <c r="F4" s="33"/>
      <c r="G4" s="31"/>
      <c r="H4" s="31"/>
      <c r="I4" s="31"/>
    </row>
    <row r="5" spans="1:9">
      <c r="A5" s="31">
        <v>3</v>
      </c>
      <c r="B5" s="29"/>
      <c r="C5" s="32"/>
      <c r="D5" s="33"/>
      <c r="E5" s="33"/>
      <c r="F5" s="33"/>
      <c r="G5" s="31"/>
      <c r="H5" s="31"/>
      <c r="I5" s="31"/>
    </row>
    <row r="6" spans="1:9">
      <c r="A6" s="31">
        <v>4</v>
      </c>
      <c r="B6" s="29"/>
      <c r="C6" s="32"/>
      <c r="D6" s="33"/>
      <c r="E6" s="33"/>
      <c r="F6" s="33"/>
      <c r="G6" s="31"/>
      <c r="H6" s="31"/>
      <c r="I6" s="31"/>
    </row>
    <row r="7" spans="1:9">
      <c r="A7" s="31">
        <v>5</v>
      </c>
      <c r="B7" s="29"/>
      <c r="C7" s="32"/>
      <c r="D7" s="33"/>
      <c r="E7" s="33"/>
      <c r="F7" s="33"/>
      <c r="G7" s="31"/>
      <c r="H7" s="31"/>
      <c r="I7" s="31"/>
    </row>
  </sheetData>
  <mergeCells count="5">
    <mergeCell ref="D1:F1"/>
    <mergeCell ref="G1:I1"/>
    <mergeCell ref="A1:A2"/>
    <mergeCell ref="B1:B2"/>
    <mergeCell ref="C1:C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tabSelected="1" topLeftCell="A9" workbookViewId="0">
      <selection activeCell="S19" sqref="S19"/>
    </sheetView>
  </sheetViews>
  <sheetFormatPr defaultColWidth="9" defaultRowHeight="15"/>
  <sheetData>
    <row r="1" spans="1:13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18"/>
    </row>
    <row r="2" spans="1:13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19"/>
    </row>
    <row r="3" spans="1:13">
      <c r="A3" s="5" t="s">
        <v>1</v>
      </c>
      <c r="B3" s="5" t="s">
        <v>2</v>
      </c>
      <c r="C3" s="5" t="s">
        <v>3</v>
      </c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>
      <c r="A4" s="5"/>
      <c r="B4" s="5"/>
      <c r="C4" s="5" t="s">
        <v>4</v>
      </c>
      <c r="D4" s="5"/>
      <c r="E4" s="5"/>
      <c r="F4" s="5"/>
      <c r="G4" s="5"/>
      <c r="H4" s="5" t="s">
        <v>5</v>
      </c>
      <c r="I4" s="5" t="s">
        <v>6</v>
      </c>
      <c r="J4" s="5"/>
      <c r="K4" s="5"/>
      <c r="L4" s="5" t="s">
        <v>7</v>
      </c>
      <c r="M4" s="5" t="s">
        <v>8</v>
      </c>
    </row>
    <row r="5" spans="1:13">
      <c r="A5" s="5"/>
      <c r="B5" s="5"/>
      <c r="C5" s="5" t="s">
        <v>9</v>
      </c>
      <c r="D5" s="5" t="s">
        <v>10</v>
      </c>
      <c r="E5" s="5" t="s">
        <v>11</v>
      </c>
      <c r="F5" s="5" t="s">
        <v>12</v>
      </c>
      <c r="G5" s="5" t="s">
        <v>13</v>
      </c>
      <c r="H5" s="5"/>
      <c r="I5" s="5">
        <v>60</v>
      </c>
      <c r="J5" s="5">
        <v>82</v>
      </c>
      <c r="K5" s="5">
        <v>100</v>
      </c>
      <c r="L5" s="5" t="s">
        <v>14</v>
      </c>
      <c r="M5" s="5">
        <v>12.7</v>
      </c>
    </row>
    <row r="6" ht="21" spans="1:13">
      <c r="A6" s="6" t="s">
        <v>15</v>
      </c>
      <c r="B6" s="7">
        <f>B7</f>
        <v>546</v>
      </c>
      <c r="C6" s="7">
        <f t="shared" ref="C6:M6" si="0">C7</f>
        <v>22</v>
      </c>
      <c r="D6" s="7">
        <f t="shared" si="0"/>
        <v>289</v>
      </c>
      <c r="E6" s="7">
        <f t="shared" si="0"/>
        <v>27</v>
      </c>
      <c r="F6" s="7">
        <f t="shared" si="0"/>
        <v>6</v>
      </c>
      <c r="G6" s="7">
        <f t="shared" si="0"/>
        <v>54</v>
      </c>
      <c r="H6" s="7">
        <f t="shared" si="0"/>
        <v>1444</v>
      </c>
      <c r="I6" s="7">
        <f t="shared" si="0"/>
        <v>6</v>
      </c>
      <c r="J6" s="7">
        <f t="shared" si="0"/>
        <v>4</v>
      </c>
      <c r="K6" s="7">
        <f t="shared" si="0"/>
        <v>0</v>
      </c>
      <c r="L6" s="7">
        <f t="shared" si="0"/>
        <v>3</v>
      </c>
      <c r="M6" s="7">
        <f t="shared" si="0"/>
        <v>3</v>
      </c>
    </row>
    <row r="7" spans="1:13">
      <c r="A7" s="8" t="s">
        <v>28</v>
      </c>
      <c r="B7" s="9">
        <v>546</v>
      </c>
      <c r="C7" s="9">
        <v>22</v>
      </c>
      <c r="D7" s="9">
        <v>289</v>
      </c>
      <c r="E7" s="9">
        <v>27</v>
      </c>
      <c r="F7" s="9">
        <v>6</v>
      </c>
      <c r="G7" s="9">
        <v>54</v>
      </c>
      <c r="H7" s="9">
        <v>1444</v>
      </c>
      <c r="I7" s="9">
        <v>6</v>
      </c>
      <c r="J7" s="9">
        <v>4</v>
      </c>
      <c r="K7" s="9">
        <v>0</v>
      </c>
      <c r="L7" s="9">
        <v>3</v>
      </c>
      <c r="M7" s="9">
        <v>3</v>
      </c>
    </row>
    <row r="8" ht="21" spans="1:13">
      <c r="A8" s="6" t="s">
        <v>29</v>
      </c>
      <c r="B8" s="7">
        <f>SUM(B9:B18)</f>
        <v>335</v>
      </c>
      <c r="C8" s="7">
        <f t="shared" ref="C8:M8" si="1">SUM(C9:C18)</f>
        <v>14</v>
      </c>
      <c r="D8" s="7">
        <f t="shared" si="1"/>
        <v>150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629</v>
      </c>
      <c r="I8" s="7">
        <f t="shared" si="1"/>
        <v>0</v>
      </c>
      <c r="J8" s="7">
        <f t="shared" si="1"/>
        <v>0</v>
      </c>
      <c r="K8" s="7">
        <f t="shared" si="1"/>
        <v>4</v>
      </c>
      <c r="L8" s="7">
        <f t="shared" si="1"/>
        <v>6</v>
      </c>
      <c r="M8" s="7">
        <f t="shared" si="1"/>
        <v>6</v>
      </c>
    </row>
    <row r="9" spans="1:13">
      <c r="A9" s="8" t="s">
        <v>30</v>
      </c>
      <c r="B9" s="9">
        <v>74</v>
      </c>
      <c r="C9" s="9">
        <v>4</v>
      </c>
      <c r="D9" s="9">
        <v>30</v>
      </c>
      <c r="E9" s="9"/>
      <c r="F9" s="9"/>
      <c r="G9" s="9"/>
      <c r="H9" s="9">
        <v>139</v>
      </c>
      <c r="I9" s="9"/>
      <c r="J9" s="9"/>
      <c r="K9" s="9">
        <v>4</v>
      </c>
      <c r="L9" s="9"/>
      <c r="M9" s="9"/>
    </row>
    <row r="10" spans="1:13">
      <c r="A10" s="8" t="s">
        <v>31</v>
      </c>
      <c r="B10" s="9">
        <v>69</v>
      </c>
      <c r="C10" s="9">
        <v>4</v>
      </c>
      <c r="D10" s="9">
        <v>26</v>
      </c>
      <c r="E10" s="9"/>
      <c r="F10" s="9"/>
      <c r="G10" s="9"/>
      <c r="H10" s="9">
        <v>130</v>
      </c>
      <c r="I10" s="9"/>
      <c r="J10" s="9"/>
      <c r="K10" s="9"/>
      <c r="L10" s="9">
        <v>6</v>
      </c>
      <c r="M10" s="9"/>
    </row>
    <row r="11" ht="21" spans="1:13">
      <c r="A11" s="8" t="s">
        <v>32</v>
      </c>
      <c r="B11" s="9">
        <v>82</v>
      </c>
      <c r="C11" s="9">
        <v>4</v>
      </c>
      <c r="D11" s="9">
        <v>26</v>
      </c>
      <c r="E11" s="9"/>
      <c r="F11" s="9"/>
      <c r="G11" s="9"/>
      <c r="H11" s="9">
        <v>156</v>
      </c>
      <c r="I11" s="9"/>
      <c r="J11" s="9"/>
      <c r="K11" s="9"/>
      <c r="L11" s="9"/>
      <c r="M11" s="9">
        <v>6</v>
      </c>
    </row>
    <row r="12" spans="1:13">
      <c r="A12" s="8" t="s">
        <v>33</v>
      </c>
      <c r="B12" s="9">
        <v>28</v>
      </c>
      <c r="C12" s="9"/>
      <c r="D12" s="9">
        <v>10</v>
      </c>
      <c r="E12" s="9"/>
      <c r="F12" s="9"/>
      <c r="G12" s="9"/>
      <c r="H12" s="9">
        <v>56</v>
      </c>
      <c r="I12" s="9"/>
      <c r="J12" s="9"/>
      <c r="K12" s="9"/>
      <c r="L12" s="9"/>
      <c r="M12" s="9"/>
    </row>
    <row r="13" spans="1:13">
      <c r="A13" s="10" t="s">
        <v>34</v>
      </c>
      <c r="B13" s="11">
        <v>3</v>
      </c>
      <c r="C13" s="11"/>
      <c r="D13" s="11">
        <v>0</v>
      </c>
      <c r="E13" s="11"/>
      <c r="F13" s="11"/>
      <c r="G13" s="11"/>
      <c r="H13" s="11">
        <v>0</v>
      </c>
      <c r="I13" s="11"/>
      <c r="J13" s="11"/>
      <c r="K13" s="11"/>
      <c r="L13" s="11"/>
      <c r="M13" s="11"/>
    </row>
    <row r="14" spans="1:13">
      <c r="A14" s="10" t="s">
        <v>35</v>
      </c>
      <c r="B14" s="11">
        <v>9</v>
      </c>
      <c r="C14" s="11"/>
      <c r="D14" s="11">
        <v>2</v>
      </c>
      <c r="E14" s="11"/>
      <c r="F14" s="11"/>
      <c r="G14" s="11"/>
      <c r="H14" s="11">
        <v>8</v>
      </c>
      <c r="I14" s="11"/>
      <c r="J14" s="11"/>
      <c r="K14" s="11"/>
      <c r="L14" s="11"/>
      <c r="M14" s="11"/>
    </row>
    <row r="15" spans="1:13">
      <c r="A15" s="10" t="s">
        <v>36</v>
      </c>
      <c r="B15" s="11">
        <v>26</v>
      </c>
      <c r="C15" s="11">
        <v>2</v>
      </c>
      <c r="D15" s="11">
        <v>24</v>
      </c>
      <c r="E15" s="11"/>
      <c r="F15" s="11"/>
      <c r="G15" s="11"/>
      <c r="H15" s="11">
        <v>52</v>
      </c>
      <c r="I15" s="11"/>
      <c r="J15" s="11"/>
      <c r="K15" s="11"/>
      <c r="L15" s="11"/>
      <c r="M15" s="11"/>
    </row>
    <row r="16" spans="1:13">
      <c r="A16" s="8" t="s">
        <v>37</v>
      </c>
      <c r="B16" s="9">
        <v>32</v>
      </c>
      <c r="C16" s="9"/>
      <c r="D16" s="9">
        <v>22</v>
      </c>
      <c r="E16" s="9"/>
      <c r="F16" s="9"/>
      <c r="G16" s="9"/>
      <c r="H16" s="9">
        <v>64</v>
      </c>
      <c r="I16" s="9"/>
      <c r="J16" s="9"/>
      <c r="K16" s="9"/>
      <c r="L16" s="9"/>
      <c r="M16" s="9"/>
    </row>
    <row r="17" spans="1:13">
      <c r="A17" s="12" t="s">
        <v>38</v>
      </c>
      <c r="B17" s="13">
        <v>3</v>
      </c>
      <c r="C17" s="13"/>
      <c r="D17" s="13">
        <v>1</v>
      </c>
      <c r="E17" s="13"/>
      <c r="F17" s="13"/>
      <c r="G17" s="13"/>
      <c r="H17" s="13">
        <v>6</v>
      </c>
      <c r="I17" s="13"/>
      <c r="J17" s="13"/>
      <c r="K17" s="13"/>
      <c r="L17" s="13"/>
      <c r="M17" s="13"/>
    </row>
    <row r="18" spans="1:13">
      <c r="A18" s="14" t="s">
        <v>39</v>
      </c>
      <c r="B18" s="15">
        <v>9</v>
      </c>
      <c r="C18" s="15"/>
      <c r="D18" s="15">
        <v>9</v>
      </c>
      <c r="E18" s="15"/>
      <c r="F18" s="15"/>
      <c r="G18" s="15"/>
      <c r="H18" s="15">
        <v>18</v>
      </c>
      <c r="I18" s="15"/>
      <c r="J18" s="15"/>
      <c r="K18" s="15"/>
      <c r="L18" s="15"/>
      <c r="M18" s="15"/>
    </row>
    <row r="19" spans="1:13">
      <c r="A19" s="16" t="s">
        <v>26</v>
      </c>
      <c r="B19" s="17">
        <f>B6+B8</f>
        <v>881</v>
      </c>
      <c r="C19" s="17">
        <f t="shared" ref="C19:M19" si="2">C6+C8</f>
        <v>36</v>
      </c>
      <c r="D19" s="17">
        <f t="shared" si="2"/>
        <v>439</v>
      </c>
      <c r="E19" s="17">
        <f t="shared" si="2"/>
        <v>27</v>
      </c>
      <c r="F19" s="17">
        <f t="shared" si="2"/>
        <v>6</v>
      </c>
      <c r="G19" s="17">
        <f t="shared" si="2"/>
        <v>54</v>
      </c>
      <c r="H19" s="17">
        <f t="shared" si="2"/>
        <v>2073</v>
      </c>
      <c r="I19" s="17">
        <f t="shared" si="2"/>
        <v>6</v>
      </c>
      <c r="J19" s="17">
        <f t="shared" si="2"/>
        <v>4</v>
      </c>
      <c r="K19" s="17">
        <f t="shared" si="2"/>
        <v>4</v>
      </c>
      <c r="L19" s="17">
        <f t="shared" si="2"/>
        <v>9</v>
      </c>
      <c r="M19" s="17">
        <f t="shared" si="2"/>
        <v>9</v>
      </c>
    </row>
  </sheetData>
  <mergeCells count="7">
    <mergeCell ref="C3:M3"/>
    <mergeCell ref="C4:G4"/>
    <mergeCell ref="I4:K4"/>
    <mergeCell ref="A3:A5"/>
    <mergeCell ref="B3:B5"/>
    <mergeCell ref="H4:H5"/>
    <mergeCell ref="A1:M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123456789</cp:lastModifiedBy>
  <dcterms:created xsi:type="dcterms:W3CDTF">2025-12-02T15:26:00Z</dcterms:created>
  <dcterms:modified xsi:type="dcterms:W3CDTF">2026-02-08T14:58:45Z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