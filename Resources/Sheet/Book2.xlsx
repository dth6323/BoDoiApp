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E4DC64B7-A19B-48E6-9851-6549BC9EFA8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uaChua" sheetId="7" r:id="rId1"/>
    <sheet name="BaoDamQuanY" sheetId="8" r:id="rId2"/>
    <sheet name="KeHoachBaoDamQuanY" sheetId="9" r:id="rId3"/>
    <sheet name="Trang_tính2" sheetId="11" r:id="rId4"/>
    <sheet name="KeHoachSuaChua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11" l="1"/>
  <c r="H60" i="11" s="1"/>
  <c r="H59" i="11"/>
  <c r="D59" i="11"/>
  <c r="H58" i="11"/>
  <c r="D58" i="11"/>
  <c r="H57" i="11"/>
  <c r="D57" i="11"/>
  <c r="H56" i="11"/>
  <c r="D56" i="11"/>
  <c r="D55" i="11"/>
  <c r="H55" i="11" s="1"/>
  <c r="D54" i="11"/>
  <c r="H54" i="11" s="1"/>
  <c r="D53" i="11"/>
  <c r="H53" i="11" s="1"/>
  <c r="D52" i="11"/>
  <c r="H52" i="11" s="1"/>
  <c r="D51" i="11"/>
  <c r="H51" i="11" s="1"/>
  <c r="D49" i="11"/>
  <c r="H49" i="11" s="1"/>
  <c r="H48" i="11"/>
  <c r="H47" i="11"/>
  <c r="D47" i="11"/>
  <c r="H46" i="11"/>
  <c r="D46" i="11"/>
  <c r="H45" i="11"/>
  <c r="D45" i="11"/>
  <c r="D44" i="11"/>
  <c r="H44" i="11" s="1"/>
  <c r="H43" i="11"/>
  <c r="D42" i="11"/>
  <c r="H42" i="11" s="1"/>
  <c r="D41" i="11"/>
  <c r="H41" i="11" s="1"/>
  <c r="D40" i="11"/>
  <c r="H40" i="11" s="1"/>
  <c r="D38" i="11"/>
  <c r="H38" i="11" s="1"/>
  <c r="H37" i="11"/>
  <c r="D36" i="11"/>
  <c r="H36" i="11" s="1"/>
  <c r="H35" i="11"/>
  <c r="D35" i="11"/>
  <c r="H34" i="11"/>
  <c r="D34" i="11"/>
  <c r="D33" i="11"/>
  <c r="H33" i="11" s="1"/>
  <c r="H32" i="11"/>
  <c r="D31" i="11"/>
  <c r="H31" i="11" s="1"/>
  <c r="D30" i="11"/>
  <c r="H30" i="11" s="1"/>
  <c r="D29" i="11"/>
  <c r="H29" i="11" s="1"/>
  <c r="D27" i="11"/>
  <c r="H27" i="11" s="1"/>
  <c r="H26" i="11"/>
  <c r="D25" i="11"/>
  <c r="H25" i="11" s="1"/>
  <c r="H24" i="11"/>
  <c r="D24" i="11"/>
  <c r="H23" i="11"/>
  <c r="D23" i="11"/>
  <c r="D22" i="11"/>
  <c r="H22" i="11" s="1"/>
  <c r="D21" i="11"/>
  <c r="H21" i="11" s="1"/>
  <c r="H20" i="11"/>
  <c r="D20" i="11"/>
  <c r="D19" i="11"/>
  <c r="H19" i="11" s="1"/>
  <c r="H18" i="11"/>
  <c r="D18" i="11"/>
  <c r="H16" i="11"/>
  <c r="D16" i="11"/>
  <c r="D15" i="11"/>
  <c r="H15" i="11" s="1"/>
  <c r="D14" i="11"/>
  <c r="H14" i="11" s="1"/>
  <c r="H13" i="11"/>
  <c r="D13" i="11"/>
  <c r="D12" i="11"/>
  <c r="H12" i="11" s="1"/>
  <c r="H11" i="11"/>
  <c r="D11" i="11"/>
  <c r="H10" i="11"/>
  <c r="D10" i="11"/>
  <c r="D9" i="11"/>
  <c r="H9" i="11" s="1"/>
  <c r="D8" i="11"/>
  <c r="H8" i="11" s="1"/>
  <c r="H7" i="11"/>
  <c r="D7" i="11"/>
  <c r="K6" i="9"/>
  <c r="L6" i="9"/>
  <c r="M6" i="9"/>
  <c r="K7" i="9"/>
  <c r="L7" i="9"/>
  <c r="M7" i="9"/>
  <c r="K8" i="9"/>
  <c r="L8" i="9"/>
  <c r="M8" i="9"/>
  <c r="K9" i="9"/>
  <c r="L9" i="9"/>
  <c r="M9" i="9"/>
  <c r="K10" i="9"/>
  <c r="L10" i="9"/>
  <c r="M10" i="9"/>
  <c r="K11" i="9"/>
  <c r="L11" i="9"/>
  <c r="M11" i="9"/>
  <c r="J6" i="9"/>
  <c r="J7" i="9"/>
  <c r="J8" i="9"/>
  <c r="J9" i="9"/>
  <c r="J10" i="9"/>
  <c r="J11" i="9"/>
  <c r="I6" i="9"/>
  <c r="I7" i="9"/>
  <c r="I8" i="9"/>
  <c r="I9" i="9"/>
  <c r="I10" i="9"/>
  <c r="I11" i="9"/>
  <c r="G6" i="9"/>
  <c r="G7" i="9"/>
  <c r="G8" i="9"/>
  <c r="G9" i="9"/>
  <c r="G10" i="9"/>
  <c r="G11" i="9"/>
  <c r="E6" i="9"/>
  <c r="E7" i="9"/>
  <c r="E8" i="9"/>
  <c r="E9" i="9"/>
  <c r="E10" i="9"/>
  <c r="E11" i="9"/>
  <c r="C12" i="9"/>
  <c r="E12" i="9" s="1"/>
  <c r="I5" i="9"/>
  <c r="E5" i="9"/>
  <c r="E6" i="8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J5" i="9" l="1"/>
  <c r="M5" i="9" s="1"/>
  <c r="G5" i="9"/>
  <c r="J5" i="8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K5" i="9" l="1"/>
  <c r="L5" i="9" s="1"/>
  <c r="H5" i="7"/>
  <c r="H7" i="7"/>
</calcChain>
</file>

<file path=xl/sharedStrings.xml><?xml version="1.0" encoding="utf-8"?>
<sst xmlns="http://schemas.openxmlformats.org/spreadsheetml/2006/main" count="278" uniqueCount="102">
  <si>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</si>
  <si>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</si>
  <si>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</si>
  <si>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</si>
  <si>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</si>
  <si>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</si>
  <si>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</si>
  <si>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</si>
  <si>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</si>
  <si>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</si>
  <si>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</si>
  <si>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</si>
  <si>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</si>
  <si>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</si>
  <si>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</si>
  <si>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</si>
  <si>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</si>
  <si>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</si>
  <si>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</si>
  <si>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</si>
  <si>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</si>
  <si>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</si>
  <si>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</si>
  <si>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</si>
  <si>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</si>
  <si>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</si>
  <si>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</si>
  <si>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</si>
  <si>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</si>
  <si>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</si>
  <si>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</si>
  <si>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</si>
  <si>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</si>
  <si>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</si>
  <si>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</si>
  <si>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</si>
  <si>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</si>
  <si>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</si>
  <si>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</si>
  <si>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</si>
  <si>
    <t>Phân bổ chuyển thương</t>
  </si>
  <si>
    <t>Cáng bộ</t>
  </si>
  <si>
    <t>Tự đi</t>
  </si>
  <si>
    <t>Tổng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</si>
  <si>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</si>
  <si>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</si>
  <si>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</si>
  <si>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</si>
  <si>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</si>
  <si>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</si>
  <si>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</si>
  <si>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</si>
  <si>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</si>
  <si>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</si>
  <si>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</si>
  <si>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</si>
  <si>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</si>
  <si>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</si>
  <si>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</si>
  <si>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</si>
  <si>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</si>
  <si>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</si>
  <si>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</si>
  <si>
    <t>Nội dung, Đơn vị được vận chuyển</t>
  </si>
  <si>
    <t>TBKT, vật chất HC, KT</t>
  </si>
  <si>
    <t>Địa điểm</t>
  </si>
  <si>
    <r>
      <t xml:space="preserve">Cự ly </t>
    </r>
    <r>
      <rPr>
        <sz val="11"/>
        <color theme="1"/>
        <rFont val="Times New Roman"/>
        <family val="1"/>
      </rPr>
      <t>(km)</t>
    </r>
  </si>
  <si>
    <t>Vận chuyển thô sơ</t>
  </si>
  <si>
    <t>Vận chuyển khác</t>
  </si>
  <si>
    <t>Chủng loại</t>
  </si>
  <si>
    <t>Khối lượng (tấn)</t>
  </si>
  <si>
    <t>Nơi nhận</t>
  </si>
  <si>
    <t>Nơi giao</t>
  </si>
  <si>
    <t>TBKT</t>
  </si>
  <si>
    <t>Thời gian</t>
  </si>
  <si>
    <t>vật chất (tấn)</t>
  </si>
  <si>
    <t>Bắt đầu</t>
  </si>
  <si>
    <t>Kết thúc</t>
  </si>
  <si>
    <t>TỔNG SỐ</t>
  </si>
  <si>
    <t>GĐCB CĐ</t>
  </si>
  <si>
    <t>QN</t>
  </si>
  <si>
    <t>HCKT/d</t>
  </si>
  <si>
    <t>Các hướng</t>
  </si>
  <si>
    <t>17.00 N-3</t>
  </si>
  <si>
    <t>20.00 N-3</t>
  </si>
  <si>
    <t>QY</t>
  </si>
  <si>
    <t>17.00 N-2</t>
  </si>
  <si>
    <t>20.00 N-2</t>
  </si>
  <si>
    <t>DT</t>
  </si>
  <si>
    <t>VTKT</t>
  </si>
  <si>
    <t>Đạn</t>
  </si>
  <si>
    <t>21.00 N-1</t>
  </si>
  <si>
    <t>23.00 N-1</t>
  </si>
  <si>
    <t>GĐTH CĐ</t>
  </si>
  <si>
    <t>Khi có lệnh</t>
  </si>
  <si>
    <t>Hướng CY</t>
  </si>
  <si>
    <t>HCY</t>
  </si>
  <si>
    <t>Hướng TY</t>
  </si>
  <si>
    <t>HTY</t>
  </si>
  <si>
    <t>LL dự bị</t>
  </si>
  <si>
    <t>LLDB</t>
  </si>
  <si>
    <t>LLCL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</si>
</sst>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2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6" borderId="5" xfId="0" applyFill="1" applyBorder="1"/>
    <xf numFmtId="0" fontId="7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justify" vertical="center" wrapText="1"/>
    </xf>
    <xf numFmtId="0" fontId="6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justify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164" fontId="11" fillId="0" borderId="5" xfId="0" applyNumberFormat="1" applyFont="1" applyBorder="1" applyAlignment="1">
      <alignment vertical="center" wrapText="1"/>
    </xf>
    <xf numFmtId="0" fontId="11" fillId="0" borderId="5" xfId="0" applyFont="1" applyBorder="1"/>
    <xf numFmtId="164" fontId="11" fillId="0" borderId="5" xfId="0" applyNumberFormat="1" applyFont="1" applyBorder="1"/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textRotation="90" wrapText="1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dz\Downloads\M&#244;%20t&#7843;%20ph&#7847;n%20m&#7873;m.xlsx" TargetMode="External"/><Relationship Id="rId1" Type="http://schemas.openxmlformats.org/officeDocument/2006/relationships/externalLinkPath" Target="file:///C:\Users\hadz\Downloads\M&#244;%20t&#7843;%20ph&#7847;n%20m&#7873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ÂN SỐ"/>
      <sheetName val="1. QS, TBKT"/>
      <sheetName val="Đạn"/>
      <sheetName val="VCHC, VTKT"/>
      <sheetName val="Giao diện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G15" sqref="G15"/>
    </sheetView>
  </sheetViews>
  <sheetFormatPr defaultRowHeight="14.4"/>
  <cols>
    <col min="2" max="2" width="10.44140625" customWidth="1"/>
  </cols>
  <sheetData>
    <row r="1" spans="1:9">
      <c r="A1" s="40" t="s">
        <v>4</v>
      </c>
      <c r="B1" s="43" t="s">
        <v>5</v>
      </c>
      <c r="C1" s="43" t="s">
        <v>6</v>
      </c>
      <c r="D1" s="43" t="s">
        <v>7</v>
      </c>
      <c r="E1" s="46" t="s">
        <v>8</v>
      </c>
      <c r="F1" s="47"/>
      <c r="G1" s="47"/>
      <c r="H1" s="47"/>
      <c r="I1" s="48"/>
    </row>
    <row r="2" spans="1:9">
      <c r="A2" s="41"/>
      <c r="B2" s="44"/>
      <c r="C2" s="44"/>
      <c r="D2" s="44"/>
      <c r="E2" s="49"/>
      <c r="F2" s="50"/>
      <c r="G2" s="50"/>
      <c r="H2" s="50"/>
      <c r="I2" s="51"/>
    </row>
    <row r="3" spans="1:9">
      <c r="A3" s="42"/>
      <c r="B3" s="45"/>
      <c r="C3" s="45"/>
      <c r="D3" s="45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zoomScale="131" workbookViewId="0">
      <selection activeCell="B6" sqref="B6:B11"/>
    </sheetView>
  </sheetViews>
  <sheetFormatPr defaultRowHeight="14.4"/>
  <sheetData>
    <row r="1" spans="1:10">
      <c r="A1" s="52" t="s">
        <v>4</v>
      </c>
      <c r="B1" s="52" t="s">
        <v>21</v>
      </c>
      <c r="C1" s="52" t="s">
        <v>22</v>
      </c>
      <c r="D1" s="55" t="s">
        <v>23</v>
      </c>
      <c r="E1" s="56"/>
      <c r="F1" s="56"/>
      <c r="G1" s="56"/>
      <c r="H1" s="56"/>
      <c r="I1" s="56"/>
      <c r="J1" s="57"/>
    </row>
    <row r="2" spans="1:10">
      <c r="A2" s="54"/>
      <c r="B2" s="54"/>
      <c r="C2" s="54"/>
      <c r="D2" s="55" t="s">
        <v>24</v>
      </c>
      <c r="E2" s="56"/>
      <c r="F2" s="56"/>
      <c r="G2" s="57"/>
      <c r="H2" s="55" t="s">
        <v>25</v>
      </c>
      <c r="I2" s="57"/>
      <c r="J2" s="52" t="s">
        <v>3</v>
      </c>
    </row>
    <row r="3" spans="1:10">
      <c r="A3" s="54"/>
      <c r="B3" s="54"/>
      <c r="C3" s="54"/>
      <c r="D3" s="52" t="s">
        <v>26</v>
      </c>
      <c r="E3" s="52" t="s">
        <v>27</v>
      </c>
      <c r="F3" s="55" t="s">
        <v>28</v>
      </c>
      <c r="G3" s="57"/>
      <c r="H3" s="52" t="s">
        <v>26</v>
      </c>
      <c r="I3" s="52" t="s">
        <v>27</v>
      </c>
      <c r="J3" s="53"/>
    </row>
    <row r="4" spans="1:10">
      <c r="A4" s="53"/>
      <c r="B4" s="53"/>
      <c r="C4" s="53"/>
      <c r="D4" s="53"/>
      <c r="E4" s="53"/>
      <c r="F4" s="4" t="s">
        <v>26</v>
      </c>
      <c r="G4" s="4" t="s">
        <v>27</v>
      </c>
      <c r="H4" s="53"/>
      <c r="I4" s="53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69830-15C2-40EF-A85C-0B734C645A25}">
  <dimension ref="A1:M12"/>
  <sheetViews>
    <sheetView zoomScale="125" workbookViewId="0">
      <selection activeCell="G11" sqref="G11"/>
    </sheetView>
  </sheetViews>
  <sheetFormatPr defaultRowHeight="14.4"/>
  <sheetData>
    <row r="1" spans="1:13">
      <c r="A1" s="52" t="s">
        <v>4</v>
      </c>
      <c r="B1" s="52" t="s">
        <v>21</v>
      </c>
      <c r="C1" s="52" t="s">
        <v>22</v>
      </c>
      <c r="D1" s="55" t="s">
        <v>23</v>
      </c>
      <c r="E1" s="56"/>
      <c r="F1" s="56"/>
      <c r="G1" s="56"/>
      <c r="H1" s="56"/>
      <c r="I1" s="56"/>
      <c r="J1" s="57"/>
      <c r="K1" s="58" t="s">
        <v>40</v>
      </c>
      <c r="L1" s="59"/>
      <c r="M1" s="60"/>
    </row>
    <row r="2" spans="1:13">
      <c r="A2" s="54"/>
      <c r="B2" s="54"/>
      <c r="C2" s="54"/>
      <c r="D2" s="55" t="s">
        <v>24</v>
      </c>
      <c r="E2" s="56"/>
      <c r="F2" s="56"/>
      <c r="G2" s="57"/>
      <c r="H2" s="55" t="s">
        <v>25</v>
      </c>
      <c r="I2" s="57"/>
      <c r="J2" s="52" t="s">
        <v>3</v>
      </c>
      <c r="K2" s="61" t="s">
        <v>41</v>
      </c>
      <c r="L2" s="61" t="s">
        <v>42</v>
      </c>
      <c r="M2" s="61" t="s">
        <v>43</v>
      </c>
    </row>
    <row r="3" spans="1:13">
      <c r="A3" s="54"/>
      <c r="B3" s="54"/>
      <c r="C3" s="54"/>
      <c r="D3" s="52" t="s">
        <v>26</v>
      </c>
      <c r="E3" s="52" t="s">
        <v>27</v>
      </c>
      <c r="F3" s="55" t="s">
        <v>28</v>
      </c>
      <c r="G3" s="57"/>
      <c r="H3" s="52" t="s">
        <v>26</v>
      </c>
      <c r="I3" s="52" t="s">
        <v>27</v>
      </c>
      <c r="J3" s="53"/>
      <c r="K3" s="62"/>
      <c r="L3" s="62"/>
      <c r="M3" s="62"/>
    </row>
    <row r="4" spans="1:13">
      <c r="A4" s="53"/>
      <c r="B4" s="53"/>
      <c r="C4" s="53"/>
      <c r="D4" s="53"/>
      <c r="E4" s="53"/>
      <c r="F4" s="4" t="s">
        <v>26</v>
      </c>
      <c r="G4" s="4" t="s">
        <v>27</v>
      </c>
      <c r="H4" s="53"/>
      <c r="I4" s="53"/>
      <c r="J4" s="4" t="s">
        <v>29</v>
      </c>
      <c r="K4" s="63"/>
      <c r="L4" s="63"/>
      <c r="M4" s="63"/>
    </row>
    <row r="5" spans="1:13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  <c r="K5" s="9">
        <f>ROUNDUP(J5/2,0)</f>
        <v>0</v>
      </c>
      <c r="L5" s="9">
        <f>J5-K5</f>
        <v>0</v>
      </c>
      <c r="M5" s="9">
        <f>J5</f>
        <v>0</v>
      </c>
    </row>
    <row r="6" spans="1:13" ht="24">
      <c r="A6" s="5" t="s">
        <v>31</v>
      </c>
      <c r="B6" s="5" t="s">
        <v>32</v>
      </c>
      <c r="C6" s="6">
        <v>0</v>
      </c>
      <c r="D6" s="8"/>
      <c r="E6" s="6">
        <f t="shared" ref="E6:E11" si="0">ROUND(C6*D6/100,0)</f>
        <v>0</v>
      </c>
      <c r="F6" s="8"/>
      <c r="G6" s="6">
        <f t="shared" ref="G6:G11" si="1">ROUND(E6*F6/100,0)</f>
        <v>0</v>
      </c>
      <c r="H6" s="8"/>
      <c r="I6" s="6">
        <f t="shared" ref="I6:I11" si="2">ROUND(H6*C6/100,0)</f>
        <v>0</v>
      </c>
      <c r="J6" s="6">
        <f t="shared" ref="J6:J11" si="3">E6+I6</f>
        <v>0</v>
      </c>
      <c r="K6" s="9">
        <f t="shared" ref="K6:K11" si="4">ROUNDUP(J6/2,0)</f>
        <v>0</v>
      </c>
      <c r="L6" s="9">
        <f t="shared" ref="L6:L11" si="5">J6-K6</f>
        <v>0</v>
      </c>
      <c r="M6" s="9">
        <f t="shared" ref="M6:M11" si="6">J6</f>
        <v>0</v>
      </c>
    </row>
    <row r="7" spans="1:13" ht="24">
      <c r="A7" s="5" t="s">
        <v>31</v>
      </c>
      <c r="B7" s="5" t="s">
        <v>33</v>
      </c>
      <c r="C7" s="6">
        <v>0</v>
      </c>
      <c r="D7" s="8"/>
      <c r="E7" s="6">
        <f t="shared" si="0"/>
        <v>0</v>
      </c>
      <c r="F7" s="8"/>
      <c r="G7" s="6">
        <f t="shared" si="1"/>
        <v>0</v>
      </c>
      <c r="H7" s="8"/>
      <c r="I7" s="6">
        <f t="shared" si="2"/>
        <v>0</v>
      </c>
      <c r="J7" s="6">
        <f t="shared" si="3"/>
        <v>0</v>
      </c>
      <c r="K7" s="9">
        <f t="shared" si="4"/>
        <v>0</v>
      </c>
      <c r="L7" s="9">
        <f t="shared" si="5"/>
        <v>0</v>
      </c>
      <c r="M7" s="9">
        <f t="shared" si="6"/>
        <v>0</v>
      </c>
    </row>
    <row r="8" spans="1:13" ht="24">
      <c r="A8" s="5" t="s">
        <v>31</v>
      </c>
      <c r="B8" s="5" t="s">
        <v>35</v>
      </c>
      <c r="C8" s="6">
        <v>0</v>
      </c>
      <c r="D8" s="8"/>
      <c r="E8" s="6">
        <f t="shared" si="0"/>
        <v>0</v>
      </c>
      <c r="F8" s="8"/>
      <c r="G8" s="6">
        <f t="shared" si="1"/>
        <v>0</v>
      </c>
      <c r="H8" s="8"/>
      <c r="I8" s="6">
        <f t="shared" si="2"/>
        <v>0</v>
      </c>
      <c r="J8" s="6">
        <f t="shared" si="3"/>
        <v>0</v>
      </c>
      <c r="K8" s="9">
        <f t="shared" si="4"/>
        <v>0</v>
      </c>
      <c r="L8" s="9">
        <f t="shared" si="5"/>
        <v>0</v>
      </c>
      <c r="M8" s="9">
        <f t="shared" si="6"/>
        <v>0</v>
      </c>
    </row>
    <row r="9" spans="1:13" ht="24">
      <c r="A9" s="5" t="s">
        <v>31</v>
      </c>
      <c r="B9" s="5" t="s">
        <v>36</v>
      </c>
      <c r="C9" s="6">
        <v>0</v>
      </c>
      <c r="D9" s="8"/>
      <c r="E9" s="6">
        <f t="shared" si="0"/>
        <v>0</v>
      </c>
      <c r="F9" s="8"/>
      <c r="G9" s="6">
        <f t="shared" si="1"/>
        <v>0</v>
      </c>
      <c r="H9" s="8"/>
      <c r="I9" s="6">
        <f t="shared" si="2"/>
        <v>0</v>
      </c>
      <c r="J9" s="6">
        <f t="shared" si="3"/>
        <v>0</v>
      </c>
      <c r="K9" s="9">
        <f t="shared" si="4"/>
        <v>0</v>
      </c>
      <c r="L9" s="9">
        <f t="shared" si="5"/>
        <v>0</v>
      </c>
      <c r="M9" s="9">
        <f t="shared" si="6"/>
        <v>0</v>
      </c>
    </row>
    <row r="10" spans="1:13" ht="24">
      <c r="A10" s="5" t="s">
        <v>31</v>
      </c>
      <c r="B10" s="5" t="s">
        <v>37</v>
      </c>
      <c r="C10" s="6">
        <v>0</v>
      </c>
      <c r="D10" s="8"/>
      <c r="E10" s="6">
        <f t="shared" si="0"/>
        <v>0</v>
      </c>
      <c r="F10" s="8"/>
      <c r="G10" s="6">
        <f t="shared" si="1"/>
        <v>0</v>
      </c>
      <c r="H10" s="8"/>
      <c r="I10" s="6">
        <f t="shared" si="2"/>
        <v>0</v>
      </c>
      <c r="J10" s="6">
        <f t="shared" si="3"/>
        <v>0</v>
      </c>
      <c r="K10" s="9">
        <f t="shared" si="4"/>
        <v>0</v>
      </c>
      <c r="L10" s="9">
        <f t="shared" si="5"/>
        <v>0</v>
      </c>
      <c r="M10" s="9">
        <f t="shared" si="6"/>
        <v>0</v>
      </c>
    </row>
    <row r="11" spans="1:13">
      <c r="A11" s="5" t="s">
        <v>31</v>
      </c>
      <c r="B11" s="5" t="s">
        <v>38</v>
      </c>
      <c r="C11" s="6">
        <v>0</v>
      </c>
      <c r="D11" s="8"/>
      <c r="E11" s="6">
        <f t="shared" si="0"/>
        <v>0</v>
      </c>
      <c r="F11" s="8"/>
      <c r="G11" s="6">
        <f t="shared" si="1"/>
        <v>0</v>
      </c>
      <c r="H11" s="8"/>
      <c r="I11" s="6">
        <f t="shared" si="2"/>
        <v>0</v>
      </c>
      <c r="J11" s="6">
        <f t="shared" si="3"/>
        <v>0</v>
      </c>
      <c r="K11" s="9">
        <f t="shared" si="4"/>
        <v>0</v>
      </c>
      <c r="L11" s="9">
        <f t="shared" si="5"/>
        <v>0</v>
      </c>
      <c r="M11" s="9">
        <f t="shared" si="6"/>
        <v>0</v>
      </c>
    </row>
    <row r="12" spans="1:13" ht="24">
      <c r="A12" s="5">
        <v>2</v>
      </c>
      <c r="B12" s="5" t="s">
        <v>34</v>
      </c>
      <c r="C12" s="6">
        <f>C5</f>
        <v>0</v>
      </c>
      <c r="D12" s="7">
        <v>0</v>
      </c>
      <c r="E12" s="6">
        <f>ROUND(C12*D12/100,0)</f>
        <v>0</v>
      </c>
      <c r="F12" s="8"/>
      <c r="G12" s="5"/>
      <c r="H12" s="8"/>
      <c r="I12" s="5"/>
      <c r="J12" s="5"/>
      <c r="K12" s="9"/>
      <c r="L12" s="9"/>
      <c r="M12" s="9"/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79D5-2184-4663-817F-4F354B351A91}">
  <dimension ref="A1:M60"/>
  <sheetViews>
    <sheetView topLeftCell="A8" workbookViewId="0">
      <selection activeCell="H11" sqref="H11"/>
    </sheetView>
  </sheetViews>
  <sheetFormatPr defaultRowHeight="14.4"/>
  <sheetData>
    <row r="1" spans="1:13">
      <c r="A1" s="38" t="s">
        <v>63</v>
      </c>
      <c r="B1" s="39" t="s">
        <v>29</v>
      </c>
      <c r="C1" s="38" t="s">
        <v>64</v>
      </c>
      <c r="D1" s="38"/>
      <c r="E1" s="38" t="s">
        <v>65</v>
      </c>
      <c r="F1" s="38"/>
      <c r="G1" s="38" t="s">
        <v>66</v>
      </c>
      <c r="H1" s="38" t="s">
        <v>67</v>
      </c>
      <c r="I1" s="38"/>
      <c r="J1" s="38"/>
      <c r="K1" s="38" t="s">
        <v>68</v>
      </c>
      <c r="L1" s="38"/>
      <c r="M1" s="38"/>
    </row>
    <row r="2" spans="1:13">
      <c r="A2" s="38"/>
      <c r="B2" s="39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38"/>
      <c r="B3" s="39"/>
      <c r="C3" s="36" t="s">
        <v>69</v>
      </c>
      <c r="D3" s="36" t="s">
        <v>70</v>
      </c>
      <c r="E3" s="36" t="s">
        <v>71</v>
      </c>
      <c r="F3" s="36" t="s">
        <v>72</v>
      </c>
      <c r="G3" s="38"/>
      <c r="H3" s="18" t="s">
        <v>73</v>
      </c>
      <c r="I3" s="36" t="s">
        <v>74</v>
      </c>
      <c r="J3" s="36"/>
      <c r="K3" s="18" t="s">
        <v>73</v>
      </c>
      <c r="L3" s="36" t="s">
        <v>74</v>
      </c>
      <c r="M3" s="36"/>
    </row>
    <row r="4" spans="1:13">
      <c r="A4" s="38"/>
      <c r="B4" s="39"/>
      <c r="C4" s="36"/>
      <c r="D4" s="36"/>
      <c r="E4" s="36"/>
      <c r="F4" s="36"/>
      <c r="G4" s="38"/>
      <c r="H4" s="36" t="s">
        <v>75</v>
      </c>
      <c r="I4" s="36" t="s">
        <v>76</v>
      </c>
      <c r="J4" s="36" t="s">
        <v>77</v>
      </c>
      <c r="K4" s="36" t="s">
        <v>75</v>
      </c>
      <c r="L4" s="36" t="s">
        <v>76</v>
      </c>
      <c r="M4" s="36" t="s">
        <v>77</v>
      </c>
    </row>
    <row r="5" spans="1:13">
      <c r="A5" s="38"/>
      <c r="B5" s="39"/>
      <c r="C5" s="36"/>
      <c r="D5" s="36"/>
      <c r="E5" s="36"/>
      <c r="F5" s="36"/>
      <c r="G5" s="38"/>
      <c r="H5" s="36"/>
      <c r="I5" s="36"/>
      <c r="J5" s="36"/>
      <c r="K5" s="36"/>
      <c r="L5" s="36"/>
      <c r="M5" s="36"/>
    </row>
    <row r="6" spans="1:13" ht="27.6">
      <c r="A6" s="19" t="s">
        <v>78</v>
      </c>
      <c r="B6" s="18">
        <v>63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3" ht="27.6">
      <c r="A7" s="36" t="s">
        <v>79</v>
      </c>
      <c r="B7" s="36">
        <v>0</v>
      </c>
      <c r="C7" s="20" t="s">
        <v>80</v>
      </c>
      <c r="D7" s="21" t="e">
        <f>#REF!</f>
        <v>#REF!</v>
      </c>
      <c r="E7" s="25" t="s">
        <v>81</v>
      </c>
      <c r="F7" s="25" t="s">
        <v>82</v>
      </c>
      <c r="G7" s="25"/>
      <c r="H7" s="21" t="e">
        <f>D7</f>
        <v>#REF!</v>
      </c>
      <c r="I7" s="20" t="s">
        <v>83</v>
      </c>
      <c r="J7" s="20" t="s">
        <v>84</v>
      </c>
      <c r="K7" s="20"/>
      <c r="L7" s="20"/>
      <c r="M7" s="20"/>
    </row>
    <row r="8" spans="1:13" ht="27.6">
      <c r="A8" s="36"/>
      <c r="B8" s="36"/>
      <c r="C8" s="20" t="s">
        <v>85</v>
      </c>
      <c r="D8" s="21" t="e">
        <f>#REF!</f>
        <v>#REF!</v>
      </c>
      <c r="E8" s="26"/>
      <c r="F8" s="26"/>
      <c r="G8" s="26"/>
      <c r="H8" s="21" t="e">
        <f t="shared" ref="H8:H60" si="0">D8</f>
        <v>#REF!</v>
      </c>
      <c r="I8" s="20" t="s">
        <v>86</v>
      </c>
      <c r="J8" s="20" t="s">
        <v>87</v>
      </c>
      <c r="K8" s="20"/>
      <c r="L8" s="20"/>
      <c r="M8" s="20"/>
    </row>
    <row r="9" spans="1:13" ht="27.6">
      <c r="A9" s="36"/>
      <c r="B9" s="36"/>
      <c r="C9" s="20" t="s">
        <v>88</v>
      </c>
      <c r="D9" s="21" t="e">
        <f>#REF!</f>
        <v>#REF!</v>
      </c>
      <c r="E9" s="26"/>
      <c r="F9" s="26"/>
      <c r="G9" s="26"/>
      <c r="H9" s="21" t="e">
        <f t="shared" si="0"/>
        <v>#REF!</v>
      </c>
      <c r="I9" s="20" t="s">
        <v>86</v>
      </c>
      <c r="J9" s="20" t="s">
        <v>87</v>
      </c>
      <c r="K9" s="20"/>
      <c r="L9" s="20"/>
      <c r="M9" s="20"/>
    </row>
    <row r="10" spans="1:13" ht="27.6">
      <c r="A10" s="36"/>
      <c r="B10" s="36"/>
      <c r="C10" s="22" t="s">
        <v>89</v>
      </c>
      <c r="D10" s="23" t="e">
        <f>#REF!</f>
        <v>#REF!</v>
      </c>
      <c r="E10" s="26"/>
      <c r="F10" s="26"/>
      <c r="G10" s="26"/>
      <c r="H10" s="21" t="e">
        <f t="shared" si="0"/>
        <v>#REF!</v>
      </c>
      <c r="I10" s="20" t="s">
        <v>86</v>
      </c>
      <c r="J10" s="20" t="s">
        <v>87</v>
      </c>
      <c r="K10" s="20"/>
      <c r="L10" s="20"/>
      <c r="M10" s="20"/>
    </row>
    <row r="11" spans="1:13" ht="27.6">
      <c r="A11" s="36"/>
      <c r="B11" s="36"/>
      <c r="C11" s="20" t="s">
        <v>90</v>
      </c>
      <c r="D11" s="21" t="e">
        <f>#REF!</f>
        <v>#REF!</v>
      </c>
      <c r="E11" s="27"/>
      <c r="F11" s="27"/>
      <c r="G11" s="27"/>
      <c r="H11" s="21" t="e">
        <f t="shared" si="0"/>
        <v>#REF!</v>
      </c>
      <c r="I11" s="20" t="s">
        <v>91</v>
      </c>
      <c r="J11" s="20" t="s">
        <v>92</v>
      </c>
      <c r="K11" s="20"/>
      <c r="L11" s="20"/>
      <c r="M11" s="20"/>
    </row>
    <row r="12" spans="1:13">
      <c r="A12" s="36" t="s">
        <v>93</v>
      </c>
      <c r="B12" s="37">
        <v>63</v>
      </c>
      <c r="C12" s="20" t="s">
        <v>80</v>
      </c>
      <c r="D12" s="21" t="e">
        <f>#REF!</f>
        <v>#REF!</v>
      </c>
      <c r="E12" s="25" t="s">
        <v>81</v>
      </c>
      <c r="F12" s="25" t="s">
        <v>82</v>
      </c>
      <c r="G12" s="25"/>
      <c r="H12" s="21" t="e">
        <f t="shared" si="0"/>
        <v>#REF!</v>
      </c>
      <c r="I12" s="25" t="s">
        <v>94</v>
      </c>
      <c r="J12" s="20"/>
      <c r="K12" s="20"/>
      <c r="L12" s="20"/>
      <c r="M12" s="20"/>
    </row>
    <row r="13" spans="1:13">
      <c r="A13" s="36"/>
      <c r="B13" s="37"/>
      <c r="C13" s="20" t="s">
        <v>85</v>
      </c>
      <c r="D13" s="21" t="e">
        <f>#REF!</f>
        <v>#REF!</v>
      </c>
      <c r="E13" s="26"/>
      <c r="F13" s="26"/>
      <c r="G13" s="26"/>
      <c r="H13" s="21" t="e">
        <f t="shared" si="0"/>
        <v>#REF!</v>
      </c>
      <c r="I13" s="26"/>
      <c r="J13" s="20"/>
      <c r="K13" s="20"/>
      <c r="L13" s="20"/>
      <c r="M13" s="20"/>
    </row>
    <row r="14" spans="1:13">
      <c r="A14" s="36"/>
      <c r="B14" s="37"/>
      <c r="C14" s="20" t="s">
        <v>88</v>
      </c>
      <c r="D14" s="21" t="e">
        <f>#REF!</f>
        <v>#REF!</v>
      </c>
      <c r="E14" s="26"/>
      <c r="F14" s="26"/>
      <c r="G14" s="26"/>
      <c r="H14" s="21" t="e">
        <f t="shared" si="0"/>
        <v>#REF!</v>
      </c>
      <c r="I14" s="26"/>
      <c r="J14" s="20"/>
      <c r="K14" s="20"/>
      <c r="L14" s="20"/>
      <c r="M14" s="20"/>
    </row>
    <row r="15" spans="1:13">
      <c r="A15" s="36"/>
      <c r="B15" s="37"/>
      <c r="C15" s="22" t="s">
        <v>89</v>
      </c>
      <c r="D15" s="21" t="e">
        <f>#REF!</f>
        <v>#REF!</v>
      </c>
      <c r="E15" s="26"/>
      <c r="F15" s="26"/>
      <c r="G15" s="26"/>
      <c r="H15" s="21" t="e">
        <f t="shared" si="0"/>
        <v>#REF!</v>
      </c>
      <c r="I15" s="26"/>
      <c r="J15" s="20"/>
      <c r="K15" s="20"/>
      <c r="L15" s="20"/>
      <c r="M15" s="20"/>
    </row>
    <row r="16" spans="1:13">
      <c r="A16" s="36"/>
      <c r="B16" s="37"/>
      <c r="C16" s="20" t="s">
        <v>90</v>
      </c>
      <c r="D16" s="21" t="e">
        <f>#REF!</f>
        <v>#REF!</v>
      </c>
      <c r="E16" s="27"/>
      <c r="F16" s="27"/>
      <c r="G16" s="27"/>
      <c r="H16" s="21" t="e">
        <f t="shared" si="0"/>
        <v>#REF!</v>
      </c>
      <c r="I16" s="27"/>
      <c r="J16" s="20"/>
      <c r="K16" s="20"/>
      <c r="L16" s="20"/>
      <c r="M16" s="20"/>
    </row>
    <row r="17" spans="1:13" ht="27.6">
      <c r="A17" s="19" t="s">
        <v>95</v>
      </c>
      <c r="B17" s="18">
        <v>25</v>
      </c>
      <c r="C17" s="20"/>
      <c r="D17" s="21"/>
      <c r="E17" s="20"/>
      <c r="F17" s="20"/>
      <c r="G17" s="18"/>
      <c r="H17" s="21"/>
      <c r="I17" s="20"/>
      <c r="J17" s="20"/>
      <c r="K17" s="20"/>
      <c r="L17" s="20"/>
      <c r="M17" s="20"/>
    </row>
    <row r="18" spans="1:13" ht="27.6">
      <c r="A18" s="25" t="s">
        <v>79</v>
      </c>
      <c r="B18" s="31"/>
      <c r="C18" s="20" t="s">
        <v>80</v>
      </c>
      <c r="D18" s="21" t="e">
        <f>#REF!</f>
        <v>#REF!</v>
      </c>
      <c r="E18" s="25" t="s">
        <v>81</v>
      </c>
      <c r="F18" s="25" t="s">
        <v>96</v>
      </c>
      <c r="G18" s="25">
        <v>0.7</v>
      </c>
      <c r="H18" s="21" t="e">
        <f t="shared" si="0"/>
        <v>#REF!</v>
      </c>
      <c r="I18" s="20" t="s">
        <v>83</v>
      </c>
      <c r="J18" s="20" t="s">
        <v>84</v>
      </c>
      <c r="K18" s="20"/>
      <c r="L18" s="20"/>
      <c r="M18" s="20"/>
    </row>
    <row r="19" spans="1:13" ht="27.6">
      <c r="A19" s="26"/>
      <c r="B19" s="32"/>
      <c r="C19" s="20" t="s">
        <v>85</v>
      </c>
      <c r="D19" s="21" t="e">
        <f>#REF!</f>
        <v>#REF!</v>
      </c>
      <c r="E19" s="26"/>
      <c r="F19" s="26"/>
      <c r="G19" s="26"/>
      <c r="H19" s="21" t="e">
        <f t="shared" si="0"/>
        <v>#REF!</v>
      </c>
      <c r="I19" s="20" t="s">
        <v>86</v>
      </c>
      <c r="J19" s="20" t="s">
        <v>87</v>
      </c>
      <c r="K19" s="20"/>
      <c r="L19" s="20"/>
      <c r="M19" s="20"/>
    </row>
    <row r="20" spans="1:13" ht="27.6">
      <c r="A20" s="26"/>
      <c r="B20" s="32"/>
      <c r="C20" s="20" t="s">
        <v>88</v>
      </c>
      <c r="D20" s="21" t="e">
        <f>#REF!</f>
        <v>#REF!</v>
      </c>
      <c r="E20" s="26"/>
      <c r="F20" s="26"/>
      <c r="G20" s="26"/>
      <c r="H20" s="21" t="e">
        <f t="shared" si="0"/>
        <v>#REF!</v>
      </c>
      <c r="I20" s="20" t="s">
        <v>86</v>
      </c>
      <c r="J20" s="20" t="s">
        <v>87</v>
      </c>
      <c r="K20" s="20"/>
      <c r="L20" s="20"/>
      <c r="M20" s="20"/>
    </row>
    <row r="21" spans="1:13" ht="27.6">
      <c r="A21" s="26"/>
      <c r="B21" s="32"/>
      <c r="C21" s="22" t="s">
        <v>89</v>
      </c>
      <c r="D21" s="21" t="e">
        <f>[1]Đạn!#REF!+[1]Đạn!#REF!</f>
        <v>#REF!</v>
      </c>
      <c r="E21" s="26"/>
      <c r="F21" s="26"/>
      <c r="G21" s="26"/>
      <c r="H21" s="21" t="e">
        <f t="shared" si="0"/>
        <v>#REF!</v>
      </c>
      <c r="I21" s="20" t="s">
        <v>86</v>
      </c>
      <c r="J21" s="20" t="s">
        <v>87</v>
      </c>
      <c r="K21" s="20"/>
      <c r="L21" s="20"/>
      <c r="M21" s="20"/>
    </row>
    <row r="22" spans="1:13" ht="27.6">
      <c r="A22" s="27"/>
      <c r="B22" s="33"/>
      <c r="C22" s="20" t="s">
        <v>90</v>
      </c>
      <c r="D22" s="21" t="e">
        <f>[1]Đạn!#REF!+[1]Đạn!#REF!+[1]Đạn!#REF!+[1]Đạn!#REF!</f>
        <v>#REF!</v>
      </c>
      <c r="E22" s="27"/>
      <c r="F22" s="27"/>
      <c r="G22" s="27"/>
      <c r="H22" s="21" t="e">
        <f t="shared" si="0"/>
        <v>#REF!</v>
      </c>
      <c r="I22" s="20" t="s">
        <v>91</v>
      </c>
      <c r="J22" s="20" t="s">
        <v>92</v>
      </c>
      <c r="K22" s="20"/>
      <c r="L22" s="20"/>
      <c r="M22" s="20"/>
    </row>
    <row r="23" spans="1:13">
      <c r="A23" s="25" t="s">
        <v>93</v>
      </c>
      <c r="B23" s="28">
        <v>25</v>
      </c>
      <c r="C23" s="20" t="s">
        <v>80</v>
      </c>
      <c r="D23" s="21" t="e">
        <f>#REF!</f>
        <v>#REF!</v>
      </c>
      <c r="E23" s="25" t="s">
        <v>81</v>
      </c>
      <c r="F23" s="25" t="s">
        <v>96</v>
      </c>
      <c r="G23" s="25">
        <v>1</v>
      </c>
      <c r="H23" s="21" t="e">
        <f t="shared" si="0"/>
        <v>#REF!</v>
      </c>
      <c r="I23" s="25" t="s">
        <v>94</v>
      </c>
      <c r="J23" s="20"/>
      <c r="K23" s="20"/>
      <c r="L23" s="20"/>
      <c r="M23" s="20"/>
    </row>
    <row r="24" spans="1:13">
      <c r="A24" s="26"/>
      <c r="B24" s="29"/>
      <c r="C24" s="20" t="s">
        <v>85</v>
      </c>
      <c r="D24" s="21" t="e">
        <f>#REF!</f>
        <v>#REF!</v>
      </c>
      <c r="E24" s="26"/>
      <c r="F24" s="26"/>
      <c r="G24" s="26"/>
      <c r="H24" s="21" t="e">
        <f t="shared" si="0"/>
        <v>#REF!</v>
      </c>
      <c r="I24" s="26"/>
      <c r="J24" s="20"/>
      <c r="K24" s="20"/>
      <c r="L24" s="20"/>
      <c r="M24" s="20"/>
    </row>
    <row r="25" spans="1:13">
      <c r="A25" s="26"/>
      <c r="B25" s="29"/>
      <c r="C25" s="20" t="s">
        <v>88</v>
      </c>
      <c r="D25" s="21" t="e">
        <f>#REF!</f>
        <v>#REF!</v>
      </c>
      <c r="E25" s="26"/>
      <c r="F25" s="26"/>
      <c r="G25" s="26"/>
      <c r="H25" s="21" t="e">
        <f t="shared" si="0"/>
        <v>#REF!</v>
      </c>
      <c r="I25" s="26"/>
      <c r="J25" s="20"/>
      <c r="K25" s="20"/>
      <c r="L25" s="20"/>
      <c r="M25" s="20"/>
    </row>
    <row r="26" spans="1:13">
      <c r="A26" s="26"/>
      <c r="B26" s="29"/>
      <c r="C26" s="22" t="s">
        <v>89</v>
      </c>
      <c r="D26" s="21"/>
      <c r="E26" s="26"/>
      <c r="F26" s="26"/>
      <c r="G26" s="26"/>
      <c r="H26" s="21">
        <f t="shared" si="0"/>
        <v>0</v>
      </c>
      <c r="I26" s="26"/>
      <c r="J26" s="20"/>
      <c r="K26" s="20"/>
      <c r="L26" s="20"/>
      <c r="M26" s="20"/>
    </row>
    <row r="27" spans="1:13">
      <c r="A27" s="27"/>
      <c r="B27" s="30"/>
      <c r="C27" s="20" t="s">
        <v>90</v>
      </c>
      <c r="D27" s="23" t="e">
        <f>[1]Đạn!#REF!+[1]Đạn!#REF!</f>
        <v>#REF!</v>
      </c>
      <c r="E27" s="27"/>
      <c r="F27" s="27"/>
      <c r="G27" s="27"/>
      <c r="H27" s="21" t="e">
        <f t="shared" si="0"/>
        <v>#REF!</v>
      </c>
      <c r="I27" s="27"/>
      <c r="J27" s="22"/>
      <c r="K27" s="22"/>
      <c r="L27" s="22"/>
      <c r="M27" s="22"/>
    </row>
    <row r="28" spans="1:13" ht="27.6">
      <c r="A28" s="19" t="s">
        <v>97</v>
      </c>
      <c r="B28" s="18">
        <v>10</v>
      </c>
      <c r="C28" s="22"/>
      <c r="D28" s="23"/>
      <c r="E28" s="22"/>
      <c r="F28" s="22"/>
      <c r="G28" s="24"/>
      <c r="H28" s="21"/>
      <c r="I28" s="22"/>
      <c r="J28" s="22"/>
      <c r="K28" s="22"/>
      <c r="L28" s="22"/>
      <c r="M28" s="22"/>
    </row>
    <row r="29" spans="1:13" ht="27.6">
      <c r="A29" s="28" t="s">
        <v>79</v>
      </c>
      <c r="B29" s="28"/>
      <c r="C29" s="20" t="s">
        <v>80</v>
      </c>
      <c r="D29" s="23" t="e">
        <f>#REF!</f>
        <v>#REF!</v>
      </c>
      <c r="E29" s="25" t="s">
        <v>81</v>
      </c>
      <c r="F29" s="25" t="s">
        <v>98</v>
      </c>
      <c r="G29" s="25">
        <v>1</v>
      </c>
      <c r="H29" s="21" t="e">
        <f t="shared" si="0"/>
        <v>#REF!</v>
      </c>
      <c r="I29" s="20" t="s">
        <v>83</v>
      </c>
      <c r="J29" s="20" t="s">
        <v>84</v>
      </c>
      <c r="K29" s="22"/>
      <c r="L29" s="22"/>
      <c r="M29" s="22"/>
    </row>
    <row r="30" spans="1:13" ht="27.6">
      <c r="A30" s="34"/>
      <c r="B30" s="34"/>
      <c r="C30" s="20" t="s">
        <v>85</v>
      </c>
      <c r="D30" s="23" t="e">
        <f>#REF!</f>
        <v>#REF!</v>
      </c>
      <c r="E30" s="26"/>
      <c r="F30" s="26"/>
      <c r="G30" s="26"/>
      <c r="H30" s="21" t="e">
        <f t="shared" si="0"/>
        <v>#REF!</v>
      </c>
      <c r="I30" s="20" t="s">
        <v>86</v>
      </c>
      <c r="J30" s="20" t="s">
        <v>87</v>
      </c>
      <c r="K30" s="22"/>
      <c r="L30" s="22"/>
      <c r="M30" s="22"/>
    </row>
    <row r="31" spans="1:13" ht="27.6">
      <c r="A31" s="34"/>
      <c r="B31" s="34"/>
      <c r="C31" s="20" t="s">
        <v>88</v>
      </c>
      <c r="D31" s="23" t="e">
        <f>#REF!</f>
        <v>#REF!</v>
      </c>
      <c r="E31" s="26"/>
      <c r="F31" s="26"/>
      <c r="G31" s="26"/>
      <c r="H31" s="21" t="e">
        <f t="shared" si="0"/>
        <v>#REF!</v>
      </c>
      <c r="I31" s="20" t="s">
        <v>86</v>
      </c>
      <c r="J31" s="20" t="s">
        <v>87</v>
      </c>
      <c r="K31" s="22"/>
      <c r="L31" s="22"/>
      <c r="M31" s="22"/>
    </row>
    <row r="32" spans="1:13" ht="27.6">
      <c r="A32" s="34"/>
      <c r="B32" s="34"/>
      <c r="C32" s="22" t="s">
        <v>89</v>
      </c>
      <c r="D32" s="23"/>
      <c r="E32" s="26"/>
      <c r="F32" s="26"/>
      <c r="G32" s="26"/>
      <c r="H32" s="21">
        <f t="shared" si="0"/>
        <v>0</v>
      </c>
      <c r="I32" s="20" t="s">
        <v>86</v>
      </c>
      <c r="J32" s="20" t="s">
        <v>87</v>
      </c>
      <c r="K32" s="22"/>
      <c r="L32" s="22"/>
      <c r="M32" s="22"/>
    </row>
    <row r="33" spans="1:13" ht="27.6">
      <c r="A33" s="35"/>
      <c r="B33" s="35"/>
      <c r="C33" s="20" t="s">
        <v>90</v>
      </c>
      <c r="D33" s="23" t="e">
        <f>[1]Đạn!#REF!+[1]Đạn!#REF!</f>
        <v>#REF!</v>
      </c>
      <c r="E33" s="27"/>
      <c r="F33" s="27"/>
      <c r="G33" s="27"/>
      <c r="H33" s="21" t="e">
        <f t="shared" si="0"/>
        <v>#REF!</v>
      </c>
      <c r="I33" s="20" t="s">
        <v>91</v>
      </c>
      <c r="J33" s="20" t="s">
        <v>92</v>
      </c>
      <c r="K33" s="22"/>
      <c r="L33" s="22"/>
      <c r="M33" s="22"/>
    </row>
    <row r="34" spans="1:13">
      <c r="A34" s="28" t="s">
        <v>93</v>
      </c>
      <c r="B34" s="28"/>
      <c r="C34" s="20" t="s">
        <v>80</v>
      </c>
      <c r="D34" s="23" t="e">
        <f>#REF!</f>
        <v>#REF!</v>
      </c>
      <c r="E34" s="25" t="s">
        <v>81</v>
      </c>
      <c r="F34" s="25" t="s">
        <v>98</v>
      </c>
      <c r="G34" s="28">
        <v>1.5</v>
      </c>
      <c r="H34" s="21" t="e">
        <f t="shared" si="0"/>
        <v>#REF!</v>
      </c>
      <c r="I34" s="25" t="s">
        <v>94</v>
      </c>
      <c r="J34" s="22"/>
      <c r="K34" s="22"/>
      <c r="L34" s="22"/>
      <c r="M34" s="22"/>
    </row>
    <row r="35" spans="1:13">
      <c r="A35" s="34"/>
      <c r="B35" s="34"/>
      <c r="C35" s="20" t="s">
        <v>85</v>
      </c>
      <c r="D35" s="23" t="e">
        <f>#REF!</f>
        <v>#REF!</v>
      </c>
      <c r="E35" s="26"/>
      <c r="F35" s="26"/>
      <c r="G35" s="29"/>
      <c r="H35" s="21" t="e">
        <f t="shared" si="0"/>
        <v>#REF!</v>
      </c>
      <c r="I35" s="26"/>
      <c r="J35" s="22"/>
      <c r="K35" s="22"/>
      <c r="L35" s="22"/>
      <c r="M35" s="22"/>
    </row>
    <row r="36" spans="1:13">
      <c r="A36" s="34"/>
      <c r="B36" s="34"/>
      <c r="C36" s="20" t="s">
        <v>88</v>
      </c>
      <c r="D36" s="23" t="e">
        <f>#REF!</f>
        <v>#REF!</v>
      </c>
      <c r="E36" s="26"/>
      <c r="F36" s="26"/>
      <c r="G36" s="29"/>
      <c r="H36" s="21" t="e">
        <f t="shared" si="0"/>
        <v>#REF!</v>
      </c>
      <c r="I36" s="26"/>
      <c r="J36" s="22"/>
      <c r="K36" s="22"/>
      <c r="L36" s="22"/>
      <c r="M36" s="22"/>
    </row>
    <row r="37" spans="1:13">
      <c r="A37" s="34"/>
      <c r="B37" s="34"/>
      <c r="C37" s="22" t="s">
        <v>89</v>
      </c>
      <c r="D37" s="23"/>
      <c r="E37" s="26"/>
      <c r="F37" s="26"/>
      <c r="G37" s="29"/>
      <c r="H37" s="21">
        <f t="shared" si="0"/>
        <v>0</v>
      </c>
      <c r="I37" s="26"/>
      <c r="J37" s="22"/>
      <c r="K37" s="22"/>
      <c r="L37" s="22"/>
      <c r="M37" s="22"/>
    </row>
    <row r="38" spans="1:13">
      <c r="A38" s="35"/>
      <c r="B38" s="35"/>
      <c r="C38" s="20" t="s">
        <v>90</v>
      </c>
      <c r="D38" s="23" t="e">
        <f>[1]Đạn!#REF!+[1]Đạn!#REF!</f>
        <v>#REF!</v>
      </c>
      <c r="E38" s="27"/>
      <c r="F38" s="27"/>
      <c r="G38" s="30"/>
      <c r="H38" s="21" t="e">
        <f t="shared" si="0"/>
        <v>#REF!</v>
      </c>
      <c r="I38" s="27"/>
      <c r="J38" s="22"/>
      <c r="K38" s="22"/>
      <c r="L38" s="22"/>
      <c r="M38" s="22"/>
    </row>
    <row r="39" spans="1:13">
      <c r="A39" s="19" t="s">
        <v>99</v>
      </c>
      <c r="B39" s="18">
        <v>1</v>
      </c>
      <c r="C39" s="22"/>
      <c r="D39" s="23"/>
      <c r="E39" s="22"/>
      <c r="F39" s="22"/>
      <c r="G39" s="24"/>
      <c r="H39" s="21"/>
      <c r="I39" s="22"/>
      <c r="J39" s="22"/>
      <c r="K39" s="22"/>
      <c r="L39" s="22"/>
      <c r="M39" s="22"/>
    </row>
    <row r="40" spans="1:13" ht="27.6">
      <c r="A40" s="28" t="s">
        <v>79</v>
      </c>
      <c r="B40" s="31"/>
      <c r="C40" s="20" t="s">
        <v>80</v>
      </c>
      <c r="D40" s="23" t="e">
        <f>#REF!</f>
        <v>#REF!</v>
      </c>
      <c r="E40" s="25" t="s">
        <v>81</v>
      </c>
      <c r="F40" s="25" t="s">
        <v>100</v>
      </c>
      <c r="G40" s="28">
        <v>0.7</v>
      </c>
      <c r="H40" s="21" t="e">
        <f t="shared" si="0"/>
        <v>#REF!</v>
      </c>
      <c r="I40" s="20" t="s">
        <v>83</v>
      </c>
      <c r="J40" s="20" t="s">
        <v>84</v>
      </c>
      <c r="K40" s="22"/>
      <c r="L40" s="22"/>
      <c r="M40" s="22"/>
    </row>
    <row r="41" spans="1:13" ht="27.6">
      <c r="A41" s="29"/>
      <c r="B41" s="32"/>
      <c r="C41" s="20" t="s">
        <v>85</v>
      </c>
      <c r="D41" s="23" t="e">
        <f>#REF!</f>
        <v>#REF!</v>
      </c>
      <c r="E41" s="26"/>
      <c r="F41" s="26"/>
      <c r="G41" s="29"/>
      <c r="H41" s="21" t="e">
        <f t="shared" si="0"/>
        <v>#REF!</v>
      </c>
      <c r="I41" s="20" t="s">
        <v>86</v>
      </c>
      <c r="J41" s="20" t="s">
        <v>87</v>
      </c>
      <c r="K41" s="22"/>
      <c r="L41" s="22"/>
      <c r="M41" s="22"/>
    </row>
    <row r="42" spans="1:13" ht="27.6">
      <c r="A42" s="29"/>
      <c r="B42" s="32"/>
      <c r="C42" s="20" t="s">
        <v>88</v>
      </c>
      <c r="D42" s="23" t="e">
        <f>#REF!</f>
        <v>#REF!</v>
      </c>
      <c r="E42" s="26"/>
      <c r="F42" s="26"/>
      <c r="G42" s="29"/>
      <c r="H42" s="21" t="e">
        <f t="shared" si="0"/>
        <v>#REF!</v>
      </c>
      <c r="I42" s="20" t="s">
        <v>86</v>
      </c>
      <c r="J42" s="20" t="s">
        <v>87</v>
      </c>
      <c r="K42" s="22"/>
      <c r="L42" s="22"/>
      <c r="M42" s="22"/>
    </row>
    <row r="43" spans="1:13" ht="27.6">
      <c r="A43" s="29"/>
      <c r="B43" s="32"/>
      <c r="C43" s="22" t="s">
        <v>89</v>
      </c>
      <c r="D43" s="23"/>
      <c r="E43" s="26"/>
      <c r="F43" s="26"/>
      <c r="G43" s="29"/>
      <c r="H43" s="21">
        <f t="shared" si="0"/>
        <v>0</v>
      </c>
      <c r="I43" s="20" t="s">
        <v>86</v>
      </c>
      <c r="J43" s="20" t="s">
        <v>87</v>
      </c>
      <c r="K43" s="22"/>
      <c r="L43" s="22"/>
      <c r="M43" s="22"/>
    </row>
    <row r="44" spans="1:13" ht="27.6">
      <c r="A44" s="30"/>
      <c r="B44" s="33"/>
      <c r="C44" s="20" t="s">
        <v>90</v>
      </c>
      <c r="D44" s="23" t="e">
        <f>[1]Đạn!#REF!+[1]Đạn!#REF!</f>
        <v>#REF!</v>
      </c>
      <c r="E44" s="27"/>
      <c r="F44" s="27"/>
      <c r="G44" s="30"/>
      <c r="H44" s="21" t="e">
        <f t="shared" si="0"/>
        <v>#REF!</v>
      </c>
      <c r="I44" s="20" t="s">
        <v>91</v>
      </c>
      <c r="J44" s="20" t="s">
        <v>92</v>
      </c>
      <c r="K44" s="22"/>
      <c r="L44" s="22"/>
      <c r="M44" s="22"/>
    </row>
    <row r="45" spans="1:13">
      <c r="A45" s="25" t="s">
        <v>93</v>
      </c>
      <c r="B45" s="25">
        <v>1</v>
      </c>
      <c r="C45" s="20" t="s">
        <v>80</v>
      </c>
      <c r="D45" s="23" t="e">
        <f>#REF!</f>
        <v>#REF!</v>
      </c>
      <c r="E45" s="25" t="s">
        <v>81</v>
      </c>
      <c r="F45" s="25" t="s">
        <v>100</v>
      </c>
      <c r="G45" s="28">
        <v>0.8</v>
      </c>
      <c r="H45" s="21" t="e">
        <f t="shared" si="0"/>
        <v>#REF!</v>
      </c>
      <c r="I45" s="25" t="s">
        <v>94</v>
      </c>
      <c r="J45" s="22"/>
      <c r="K45" s="22"/>
      <c r="L45" s="22"/>
      <c r="M45" s="22"/>
    </row>
    <row r="46" spans="1:13">
      <c r="A46" s="26"/>
      <c r="B46" s="26"/>
      <c r="C46" s="20" t="s">
        <v>85</v>
      </c>
      <c r="D46" s="23" t="e">
        <f>#REF!</f>
        <v>#REF!</v>
      </c>
      <c r="E46" s="26"/>
      <c r="F46" s="26"/>
      <c r="G46" s="29"/>
      <c r="H46" s="21" t="e">
        <f t="shared" si="0"/>
        <v>#REF!</v>
      </c>
      <c r="I46" s="26"/>
      <c r="J46" s="22"/>
      <c r="K46" s="22"/>
      <c r="L46" s="22"/>
      <c r="M46" s="22"/>
    </row>
    <row r="47" spans="1:13">
      <c r="A47" s="26"/>
      <c r="B47" s="26"/>
      <c r="C47" s="20" t="s">
        <v>88</v>
      </c>
      <c r="D47" s="23" t="e">
        <f>#REF!</f>
        <v>#REF!</v>
      </c>
      <c r="E47" s="26"/>
      <c r="F47" s="26"/>
      <c r="G47" s="29"/>
      <c r="H47" s="21" t="e">
        <f t="shared" si="0"/>
        <v>#REF!</v>
      </c>
      <c r="I47" s="26"/>
      <c r="J47" s="22"/>
      <c r="K47" s="22"/>
      <c r="L47" s="22"/>
      <c r="M47" s="22"/>
    </row>
    <row r="48" spans="1:13">
      <c r="A48" s="26"/>
      <c r="B48" s="26"/>
      <c r="C48" s="22" t="s">
        <v>89</v>
      </c>
      <c r="D48" s="23"/>
      <c r="E48" s="26"/>
      <c r="F48" s="26"/>
      <c r="G48" s="29"/>
      <c r="H48" s="21">
        <f t="shared" si="0"/>
        <v>0</v>
      </c>
      <c r="I48" s="26"/>
      <c r="J48" s="22"/>
      <c r="K48" s="22"/>
      <c r="L48" s="22"/>
      <c r="M48" s="22"/>
    </row>
    <row r="49" spans="1:13">
      <c r="A49" s="27"/>
      <c r="B49" s="27"/>
      <c r="C49" s="20" t="s">
        <v>90</v>
      </c>
      <c r="D49" s="23" t="e">
        <f>[1]Đạn!#REF!+[1]Đạn!#REF!</f>
        <v>#REF!</v>
      </c>
      <c r="E49" s="27"/>
      <c r="F49" s="27"/>
      <c r="G49" s="30"/>
      <c r="H49" s="21" t="e">
        <f t="shared" si="0"/>
        <v>#REF!</v>
      </c>
      <c r="I49" s="27"/>
      <c r="J49" s="22"/>
      <c r="K49" s="22"/>
      <c r="L49" s="22"/>
      <c r="M49" s="22"/>
    </row>
    <row r="50" spans="1:13" ht="27.6">
      <c r="A50" s="19" t="s">
        <v>38</v>
      </c>
      <c r="B50" s="18">
        <v>25</v>
      </c>
      <c r="C50" s="22"/>
      <c r="D50" s="23"/>
      <c r="E50" s="22"/>
      <c r="F50" s="22"/>
      <c r="G50" s="24"/>
      <c r="H50" s="21"/>
      <c r="I50" s="22"/>
      <c r="J50" s="22"/>
      <c r="K50" s="22"/>
      <c r="L50" s="22"/>
      <c r="M50" s="22"/>
    </row>
    <row r="51" spans="1:13" ht="27.6">
      <c r="A51" s="25" t="s">
        <v>79</v>
      </c>
      <c r="B51" s="31"/>
      <c r="C51" s="20" t="s">
        <v>80</v>
      </c>
      <c r="D51" s="23" t="e">
        <f>#REF!+#REF!</f>
        <v>#REF!</v>
      </c>
      <c r="E51" s="25" t="s">
        <v>81</v>
      </c>
      <c r="F51" s="25" t="s">
        <v>101</v>
      </c>
      <c r="G51" s="28">
        <v>0.5</v>
      </c>
      <c r="H51" s="21" t="e">
        <f t="shared" si="0"/>
        <v>#REF!</v>
      </c>
      <c r="I51" s="20" t="s">
        <v>83</v>
      </c>
      <c r="J51" s="20" t="s">
        <v>84</v>
      </c>
      <c r="K51" s="22"/>
      <c r="L51" s="22"/>
      <c r="M51" s="22"/>
    </row>
    <row r="52" spans="1:13" ht="27.6">
      <c r="A52" s="26"/>
      <c r="B52" s="32"/>
      <c r="C52" s="20" t="s">
        <v>85</v>
      </c>
      <c r="D52" s="23" t="e">
        <f>#REF!+#REF!</f>
        <v>#REF!</v>
      </c>
      <c r="E52" s="26"/>
      <c r="F52" s="26"/>
      <c r="G52" s="29"/>
      <c r="H52" s="21" t="e">
        <f t="shared" si="0"/>
        <v>#REF!</v>
      </c>
      <c r="I52" s="20" t="s">
        <v>86</v>
      </c>
      <c r="J52" s="20" t="s">
        <v>87</v>
      </c>
      <c r="K52" s="22"/>
      <c r="L52" s="22"/>
      <c r="M52" s="22"/>
    </row>
    <row r="53" spans="1:13" ht="27.6">
      <c r="A53" s="26"/>
      <c r="B53" s="32"/>
      <c r="C53" s="20" t="s">
        <v>88</v>
      </c>
      <c r="D53" s="23" t="e">
        <f>#REF!+#REF!</f>
        <v>#REF!</v>
      </c>
      <c r="E53" s="26"/>
      <c r="F53" s="26"/>
      <c r="G53" s="29"/>
      <c r="H53" s="21" t="e">
        <f t="shared" si="0"/>
        <v>#REF!</v>
      </c>
      <c r="I53" s="20" t="s">
        <v>86</v>
      </c>
      <c r="J53" s="20" t="s">
        <v>87</v>
      </c>
      <c r="K53" s="22"/>
      <c r="L53" s="22"/>
      <c r="M53" s="22"/>
    </row>
    <row r="54" spans="1:13" ht="27.6">
      <c r="A54" s="26"/>
      <c r="B54" s="32"/>
      <c r="C54" s="22" t="s">
        <v>89</v>
      </c>
      <c r="D54" s="23" t="e">
        <f>#REF!+#REF!</f>
        <v>#REF!</v>
      </c>
      <c r="E54" s="26"/>
      <c r="F54" s="26"/>
      <c r="G54" s="29"/>
      <c r="H54" s="21" t="e">
        <f t="shared" si="0"/>
        <v>#REF!</v>
      </c>
      <c r="I54" s="20" t="s">
        <v>86</v>
      </c>
      <c r="J54" s="20" t="s">
        <v>87</v>
      </c>
      <c r="K54" s="22"/>
      <c r="L54" s="22"/>
      <c r="M54" s="22"/>
    </row>
    <row r="55" spans="1:13" ht="27.6">
      <c r="A55" s="27"/>
      <c r="B55" s="33"/>
      <c r="C55" s="20" t="s">
        <v>90</v>
      </c>
      <c r="D55" s="23" t="e">
        <f>[1]Đạn!#REF!+[1]Đạn!#REF!</f>
        <v>#REF!</v>
      </c>
      <c r="E55" s="27"/>
      <c r="F55" s="27"/>
      <c r="G55" s="30"/>
      <c r="H55" s="21" t="e">
        <f t="shared" si="0"/>
        <v>#REF!</v>
      </c>
      <c r="I55" s="20" t="s">
        <v>91</v>
      </c>
      <c r="J55" s="20" t="s">
        <v>92</v>
      </c>
      <c r="K55" s="22"/>
      <c r="L55" s="22"/>
      <c r="M55" s="22"/>
    </row>
    <row r="56" spans="1:13">
      <c r="A56" s="25" t="s">
        <v>93</v>
      </c>
      <c r="B56" s="25">
        <v>25</v>
      </c>
      <c r="C56" s="20" t="s">
        <v>80</v>
      </c>
      <c r="D56" s="23" t="e">
        <f>#REF!</f>
        <v>#REF!</v>
      </c>
      <c r="E56" s="25" t="s">
        <v>81</v>
      </c>
      <c r="F56" s="25" t="s">
        <v>101</v>
      </c>
      <c r="G56" s="28">
        <v>0.3</v>
      </c>
      <c r="H56" s="21" t="e">
        <f t="shared" si="0"/>
        <v>#REF!</v>
      </c>
      <c r="I56" s="25" t="s">
        <v>94</v>
      </c>
      <c r="J56" s="22"/>
      <c r="K56" s="22"/>
      <c r="L56" s="22"/>
      <c r="M56" s="22"/>
    </row>
    <row r="57" spans="1:13">
      <c r="A57" s="26"/>
      <c r="B57" s="26"/>
      <c r="C57" s="20" t="s">
        <v>85</v>
      </c>
      <c r="D57" s="23" t="e">
        <f>#REF!</f>
        <v>#REF!</v>
      </c>
      <c r="E57" s="26"/>
      <c r="F57" s="26"/>
      <c r="G57" s="29"/>
      <c r="H57" s="21" t="e">
        <f t="shared" si="0"/>
        <v>#REF!</v>
      </c>
      <c r="I57" s="26"/>
      <c r="J57" s="22"/>
      <c r="K57" s="22"/>
      <c r="L57" s="22"/>
      <c r="M57" s="22"/>
    </row>
    <row r="58" spans="1:13">
      <c r="A58" s="26"/>
      <c r="B58" s="26"/>
      <c r="C58" s="20" t="s">
        <v>88</v>
      </c>
      <c r="D58" s="23" t="e">
        <f>#REF!</f>
        <v>#REF!</v>
      </c>
      <c r="E58" s="26"/>
      <c r="F58" s="26"/>
      <c r="G58" s="29"/>
      <c r="H58" s="21" t="e">
        <f t="shared" si="0"/>
        <v>#REF!</v>
      </c>
      <c r="I58" s="26"/>
      <c r="J58" s="22"/>
      <c r="K58" s="22"/>
      <c r="L58" s="22"/>
      <c r="M58" s="22"/>
    </row>
    <row r="59" spans="1:13">
      <c r="A59" s="26"/>
      <c r="B59" s="26"/>
      <c r="C59" s="22" t="s">
        <v>89</v>
      </c>
      <c r="D59" s="23" t="e">
        <f>#REF!</f>
        <v>#REF!</v>
      </c>
      <c r="E59" s="26"/>
      <c r="F59" s="26"/>
      <c r="G59" s="29"/>
      <c r="H59" s="21" t="e">
        <f t="shared" si="0"/>
        <v>#REF!</v>
      </c>
      <c r="I59" s="26"/>
      <c r="J59" s="22"/>
      <c r="K59" s="22"/>
      <c r="L59" s="22"/>
      <c r="M59" s="22"/>
    </row>
    <row r="60" spans="1:13">
      <c r="A60" s="27"/>
      <c r="B60" s="27"/>
      <c r="C60" s="20" t="s">
        <v>90</v>
      </c>
      <c r="D60" s="23" t="e">
        <f>[1]Đạn!#REF!+[1]Đạn!#REF!</f>
        <v>#REF!</v>
      </c>
      <c r="E60" s="27"/>
      <c r="F60" s="27"/>
      <c r="G60" s="30"/>
      <c r="H60" s="21" t="e">
        <f t="shared" si="0"/>
        <v>#REF!</v>
      </c>
      <c r="I60" s="27"/>
      <c r="J60" s="22"/>
      <c r="K60" s="22"/>
      <c r="L60" s="22"/>
      <c r="M60" s="22"/>
    </row>
  </sheetData>
  <mergeCells count="74">
    <mergeCell ref="K1:M2"/>
    <mergeCell ref="C3:C5"/>
    <mergeCell ref="D3:D5"/>
    <mergeCell ref="E3:E5"/>
    <mergeCell ref="F3:F5"/>
    <mergeCell ref="I3:J3"/>
    <mergeCell ref="L3:M3"/>
    <mergeCell ref="H4:H5"/>
    <mergeCell ref="I4:I5"/>
    <mergeCell ref="J4:J5"/>
    <mergeCell ref="C1:D2"/>
    <mergeCell ref="E1:F2"/>
    <mergeCell ref="G1:G5"/>
    <mergeCell ref="H1:J2"/>
    <mergeCell ref="I12:I16"/>
    <mergeCell ref="K4:K5"/>
    <mergeCell ref="L4:L5"/>
    <mergeCell ref="M4:M5"/>
    <mergeCell ref="A7:A11"/>
    <mergeCell ref="B7:B11"/>
    <mergeCell ref="E7:E11"/>
    <mergeCell ref="F7:F11"/>
    <mergeCell ref="G7:G11"/>
    <mergeCell ref="A1:A5"/>
    <mergeCell ref="B1:B5"/>
    <mergeCell ref="A12:A16"/>
    <mergeCell ref="B12:B16"/>
    <mergeCell ref="E12:E16"/>
    <mergeCell ref="F12:F16"/>
    <mergeCell ref="G12:G16"/>
    <mergeCell ref="A18:A22"/>
    <mergeCell ref="B18:B22"/>
    <mergeCell ref="E18:E22"/>
    <mergeCell ref="F18:F22"/>
    <mergeCell ref="G18:G22"/>
    <mergeCell ref="I34:I38"/>
    <mergeCell ref="I23:I27"/>
    <mergeCell ref="A29:A33"/>
    <mergeCell ref="B29:B33"/>
    <mergeCell ref="E29:E33"/>
    <mergeCell ref="F29:F33"/>
    <mergeCell ref="G29:G33"/>
    <mergeCell ref="A23:A27"/>
    <mergeCell ref="B23:B27"/>
    <mergeCell ref="E23:E27"/>
    <mergeCell ref="F23:F27"/>
    <mergeCell ref="G23:G27"/>
    <mergeCell ref="A34:A38"/>
    <mergeCell ref="B34:B38"/>
    <mergeCell ref="E34:E38"/>
    <mergeCell ref="F34:F38"/>
    <mergeCell ref="G34:G38"/>
    <mergeCell ref="A40:A44"/>
    <mergeCell ref="B40:B44"/>
    <mergeCell ref="E40:E44"/>
    <mergeCell ref="F40:F44"/>
    <mergeCell ref="G40:G44"/>
    <mergeCell ref="I56:I60"/>
    <mergeCell ref="I45:I49"/>
    <mergeCell ref="A51:A55"/>
    <mergeCell ref="B51:B55"/>
    <mergeCell ref="E51:E55"/>
    <mergeCell ref="F51:F55"/>
    <mergeCell ref="G51:G55"/>
    <mergeCell ref="A45:A49"/>
    <mergeCell ref="B45:B49"/>
    <mergeCell ref="E45:E49"/>
    <mergeCell ref="F45:F49"/>
    <mergeCell ref="G45:G49"/>
    <mergeCell ref="A56:A60"/>
    <mergeCell ref="B56:B60"/>
    <mergeCell ref="E56:E60"/>
    <mergeCell ref="F56:F60"/>
    <mergeCell ref="G56:G6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tabSelected="1" workbookViewId="0">
      <selection activeCell="K3" sqref="K3"/>
    </sheetView>
  </sheetViews>
  <sheetFormatPr defaultRowHeight="14.4"/>
  <cols>
    <col min="5" max="9" width="8.88671875" customWidth="1"/>
  </cols>
  <sheetData>
    <row r="1" spans="1:17" ht="33.6" customHeight="1" thickBot="1">
      <c r="A1" s="67" t="s">
        <v>4</v>
      </c>
      <c r="B1" s="67" t="s">
        <v>44</v>
      </c>
      <c r="C1" s="67" t="s">
        <v>6</v>
      </c>
      <c r="D1" s="67" t="s">
        <v>45</v>
      </c>
      <c r="E1" s="69" t="s">
        <v>8</v>
      </c>
      <c r="F1" s="65"/>
      <c r="G1" s="65"/>
      <c r="H1" s="65"/>
      <c r="I1" s="66"/>
      <c r="J1" s="64" t="s">
        <v>46</v>
      </c>
      <c r="K1" s="65"/>
      <c r="L1" s="66"/>
      <c r="M1" s="64" t="s">
        <v>47</v>
      </c>
      <c r="N1" s="65"/>
      <c r="O1" s="65"/>
      <c r="P1" s="65"/>
      <c r="Q1" s="66"/>
    </row>
    <row r="2" spans="1:17" ht="32.4" customHeight="1" thickBot="1">
      <c r="A2" s="68"/>
      <c r="B2" s="68"/>
      <c r="C2" s="68"/>
      <c r="D2" s="68"/>
      <c r="E2" s="10" t="s">
        <v>48</v>
      </c>
      <c r="F2" s="10" t="s">
        <v>10</v>
      </c>
      <c r="G2" s="10" t="s">
        <v>49</v>
      </c>
      <c r="H2" s="10" t="s">
        <v>12</v>
      </c>
      <c r="I2" s="10" t="s">
        <v>3</v>
      </c>
      <c r="J2" s="10" t="s">
        <v>9</v>
      </c>
      <c r="K2" s="10" t="s">
        <v>10</v>
      </c>
      <c r="L2" s="10" t="s">
        <v>3</v>
      </c>
      <c r="M2" s="10" t="s">
        <v>9</v>
      </c>
      <c r="N2" s="10" t="s">
        <v>10</v>
      </c>
      <c r="O2" s="10" t="s">
        <v>11</v>
      </c>
      <c r="P2" s="10" t="s">
        <v>12</v>
      </c>
      <c r="Q2" s="10" t="s">
        <v>3</v>
      </c>
    </row>
    <row r="3" spans="1:17" ht="27" thickBot="1">
      <c r="A3" s="11" t="s">
        <v>50</v>
      </c>
      <c r="B3" s="12" t="s">
        <v>51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</row>
    <row r="4" spans="1:17" ht="27" thickBot="1">
      <c r="A4" s="11" t="s">
        <v>52</v>
      </c>
      <c r="B4" s="12" t="s">
        <v>53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</row>
    <row r="5" spans="1:17" ht="27" thickBot="1">
      <c r="A5" s="14">
        <v>1</v>
      </c>
      <c r="B5" s="15" t="s">
        <v>54</v>
      </c>
      <c r="C5" s="10">
        <v>9</v>
      </c>
      <c r="D5" s="16">
        <v>8</v>
      </c>
      <c r="E5" s="16">
        <v>1</v>
      </c>
      <c r="F5" s="16"/>
      <c r="G5" s="16"/>
      <c r="H5" s="16"/>
      <c r="I5" s="17">
        <v>1</v>
      </c>
      <c r="J5" s="16"/>
      <c r="K5" s="16"/>
      <c r="L5" s="16"/>
      <c r="M5" s="16">
        <v>1</v>
      </c>
      <c r="N5" s="16">
        <v>0</v>
      </c>
      <c r="O5" s="16"/>
      <c r="P5" s="16"/>
      <c r="Q5" s="16">
        <v>1</v>
      </c>
    </row>
    <row r="6" spans="1:17" ht="27" thickBot="1">
      <c r="A6" s="14">
        <v>2</v>
      </c>
      <c r="B6" s="15" t="s">
        <v>55</v>
      </c>
      <c r="C6" s="10">
        <v>4</v>
      </c>
      <c r="D6" s="16">
        <v>9</v>
      </c>
      <c r="E6" s="16">
        <v>1</v>
      </c>
      <c r="F6" s="16"/>
      <c r="G6" s="16"/>
      <c r="H6" s="16"/>
      <c r="I6" s="17">
        <v>1</v>
      </c>
      <c r="J6" s="16"/>
      <c r="K6" s="16"/>
      <c r="L6" s="16"/>
      <c r="M6" s="16">
        <v>1</v>
      </c>
      <c r="N6" s="16">
        <v>0</v>
      </c>
      <c r="O6" s="16"/>
      <c r="P6" s="16"/>
      <c r="Q6" s="16">
        <v>1</v>
      </c>
    </row>
    <row r="7" spans="1:17" ht="27" thickBot="1">
      <c r="A7" s="14">
        <v>3</v>
      </c>
      <c r="B7" s="15" t="s">
        <v>56</v>
      </c>
      <c r="C7" s="10">
        <v>4</v>
      </c>
      <c r="D7" s="16">
        <v>9</v>
      </c>
      <c r="E7" s="16">
        <v>1</v>
      </c>
      <c r="F7" s="16"/>
      <c r="G7" s="16"/>
      <c r="H7" s="16"/>
      <c r="I7" s="17">
        <v>1</v>
      </c>
      <c r="J7" s="16"/>
      <c r="K7" s="16"/>
      <c r="L7" s="16"/>
      <c r="M7" s="16">
        <v>1</v>
      </c>
      <c r="N7" s="16">
        <v>0</v>
      </c>
      <c r="O7" s="16"/>
      <c r="P7" s="16"/>
      <c r="Q7" s="16">
        <v>1</v>
      </c>
    </row>
    <row r="8" spans="1:17" ht="27" thickBot="1">
      <c r="A8" s="14">
        <v>4</v>
      </c>
      <c r="B8" s="15" t="s">
        <v>57</v>
      </c>
      <c r="C8" s="10">
        <v>8</v>
      </c>
      <c r="D8" s="16">
        <v>9</v>
      </c>
      <c r="E8" s="16">
        <v>1</v>
      </c>
      <c r="F8" s="16"/>
      <c r="G8" s="16"/>
      <c r="H8" s="16"/>
      <c r="I8" s="17">
        <v>1</v>
      </c>
      <c r="J8" s="16"/>
      <c r="K8" s="16"/>
      <c r="L8" s="16"/>
      <c r="M8" s="16">
        <v>1</v>
      </c>
      <c r="N8" s="16">
        <v>0</v>
      </c>
      <c r="O8" s="16"/>
      <c r="P8" s="16"/>
      <c r="Q8" s="16">
        <v>1</v>
      </c>
    </row>
    <row r="9" spans="1:17" ht="27" thickBot="1">
      <c r="A9" s="14">
        <v>5</v>
      </c>
      <c r="B9" s="15" t="s">
        <v>58</v>
      </c>
      <c r="C9" s="10">
        <v>9</v>
      </c>
      <c r="D9" s="16">
        <v>7.5</v>
      </c>
      <c r="E9" s="16">
        <v>1</v>
      </c>
      <c r="F9" s="16"/>
      <c r="G9" s="16"/>
      <c r="H9" s="16"/>
      <c r="I9" s="17">
        <v>1</v>
      </c>
      <c r="J9" s="16"/>
      <c r="K9" s="16"/>
      <c r="L9" s="16"/>
      <c r="M9" s="16">
        <v>1</v>
      </c>
      <c r="N9" s="16">
        <v>0</v>
      </c>
      <c r="O9" s="16"/>
      <c r="P9" s="16"/>
      <c r="Q9" s="16">
        <v>1</v>
      </c>
    </row>
    <row r="10" spans="1:17" ht="15" thickBot="1">
      <c r="A10" s="14">
        <v>6</v>
      </c>
      <c r="B10" s="15" t="s">
        <v>59</v>
      </c>
      <c r="C10" s="10">
        <v>72</v>
      </c>
      <c r="D10" s="16">
        <v>2</v>
      </c>
      <c r="E10" s="16">
        <v>1</v>
      </c>
      <c r="F10" s="16">
        <v>1</v>
      </c>
      <c r="G10" s="16"/>
      <c r="H10" s="16"/>
      <c r="I10" s="17">
        <v>2</v>
      </c>
      <c r="J10" s="16"/>
      <c r="K10" s="16"/>
      <c r="L10" s="16"/>
      <c r="M10" s="16">
        <v>1</v>
      </c>
      <c r="N10" s="16">
        <v>1</v>
      </c>
      <c r="O10" s="16"/>
      <c r="P10" s="16"/>
      <c r="Q10" s="16">
        <v>2</v>
      </c>
    </row>
    <row r="11" spans="1:17" ht="27" thickBot="1">
      <c r="A11" s="14">
        <v>7</v>
      </c>
      <c r="B11" s="15" t="s">
        <v>60</v>
      </c>
      <c r="C11" s="10">
        <v>8</v>
      </c>
      <c r="D11" s="16">
        <v>2</v>
      </c>
      <c r="E11" s="16">
        <v>1</v>
      </c>
      <c r="F11" s="16"/>
      <c r="G11" s="16"/>
      <c r="H11" s="16"/>
      <c r="I11" s="17">
        <v>1</v>
      </c>
      <c r="J11" s="16"/>
      <c r="K11" s="16"/>
      <c r="L11" s="16"/>
      <c r="M11" s="16">
        <v>1</v>
      </c>
      <c r="N11" s="16">
        <v>0</v>
      </c>
      <c r="O11" s="16"/>
      <c r="P11" s="16"/>
      <c r="Q11" s="16">
        <v>1</v>
      </c>
    </row>
    <row r="12" spans="1:17" ht="27" thickBot="1">
      <c r="A12" s="14">
        <v>8</v>
      </c>
      <c r="B12" s="15" t="s">
        <v>61</v>
      </c>
      <c r="C12" s="10">
        <v>36</v>
      </c>
      <c r="D12" s="16">
        <v>2</v>
      </c>
      <c r="E12" s="16">
        <v>1</v>
      </c>
      <c r="F12" s="16"/>
      <c r="G12" s="16"/>
      <c r="H12" s="16"/>
      <c r="I12" s="17">
        <v>1</v>
      </c>
      <c r="J12" s="16"/>
      <c r="K12" s="16"/>
      <c r="L12" s="16"/>
      <c r="M12" s="16">
        <v>1</v>
      </c>
      <c r="N12" s="16">
        <v>0</v>
      </c>
      <c r="O12" s="16"/>
      <c r="P12" s="16"/>
      <c r="Q12" s="16">
        <v>1</v>
      </c>
    </row>
    <row r="13" spans="1:17" ht="27" thickBot="1">
      <c r="A13" s="14">
        <v>9</v>
      </c>
      <c r="B13" s="15" t="s">
        <v>62</v>
      </c>
      <c r="C13" s="10">
        <v>486</v>
      </c>
      <c r="D13" s="16">
        <v>2</v>
      </c>
      <c r="E13" s="16">
        <v>7</v>
      </c>
      <c r="F13" s="16">
        <v>3</v>
      </c>
      <c r="G13" s="16"/>
      <c r="H13" s="16"/>
      <c r="I13" s="17">
        <v>10</v>
      </c>
      <c r="J13" s="16"/>
      <c r="K13" s="16"/>
      <c r="L13" s="16"/>
      <c r="M13" s="16">
        <v>7</v>
      </c>
      <c r="N13" s="16">
        <v>3</v>
      </c>
      <c r="O13" s="16"/>
      <c r="P13" s="16"/>
      <c r="Q13" s="16">
        <v>10</v>
      </c>
    </row>
    <row r="14" spans="1:17" ht="15" thickBot="1">
      <c r="A14" s="14">
        <v>10</v>
      </c>
      <c r="B14" s="15" t="s">
        <v>13</v>
      </c>
      <c r="C14" s="10">
        <v>42</v>
      </c>
      <c r="D14" s="16">
        <v>2</v>
      </c>
      <c r="E14" s="16">
        <v>1</v>
      </c>
      <c r="F14" s="16"/>
      <c r="G14" s="16"/>
      <c r="H14" s="16"/>
      <c r="I14" s="17">
        <v>1</v>
      </c>
      <c r="J14" s="16"/>
      <c r="K14" s="16"/>
      <c r="L14" s="16"/>
      <c r="M14" s="16">
        <v>1</v>
      </c>
      <c r="N14" s="16">
        <v>0</v>
      </c>
      <c r="O14" s="16"/>
      <c r="P14" s="16"/>
      <c r="Q14" s="16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SuaChua</vt:lpstr>
      <vt:lpstr>BaoDamQuanY</vt:lpstr>
      <vt:lpstr>KeHoachBaoDamQuanY</vt:lpstr>
      <vt:lpstr>Trang_tính2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2026-03-03T09:17:00Z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