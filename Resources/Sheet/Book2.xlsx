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0078C594-639E-403B-85C8-9CF75E8B80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aChua" sheetId="7" r:id="rId1"/>
    <sheet name="KeHoachSuaChua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7" l="1"/>
  <c r="H6" i="7"/>
  <c r="H7" i="7"/>
  <c r="H8" i="7"/>
  <c r="H9" i="7"/>
  <c r="H10" i="7"/>
  <c r="H11" i="7"/>
  <c r="H12" i="7"/>
  <c r="H13" i="7"/>
  <c r="H14" i="7"/>
  <c r="H4" i="7"/>
  <c r="G6" i="7"/>
  <c r="G7" i="7"/>
  <c r="G8" i="7"/>
  <c r="G9" i="7"/>
  <c r="G10" i="7"/>
  <c r="G11" i="7"/>
  <c r="G12" i="7"/>
  <c r="G13" i="7"/>
  <c r="G14" i="7"/>
  <c r="G4" i="7"/>
  <c r="G5" i="7"/>
  <c r="F5" i="7"/>
  <c r="F6" i="7"/>
  <c r="F7" i="7"/>
  <c r="F8" i="7"/>
  <c r="F9" i="7"/>
  <c r="F10" i="7"/>
  <c r="F11" i="7"/>
  <c r="F12" i="7"/>
  <c r="F13" i="7"/>
  <c r="F14" i="7"/>
  <c r="F4" i="7"/>
  <c r="E5" i="7"/>
  <c r="E6" i="7"/>
  <c r="E7" i="7"/>
  <c r="E8" i="7"/>
  <c r="E9" i="7"/>
  <c r="E10" i="7"/>
  <c r="E11" i="7"/>
  <c r="E12" i="7"/>
  <c r="E13" i="7"/>
  <c r="E14" i="7"/>
  <c r="E4" i="7"/>
  <c r="I14" i="7"/>
  <c r="I12" i="7"/>
  <c r="I13" i="7"/>
  <c r="I9" i="7"/>
  <c r="I10" i="7"/>
  <c r="I11" i="7"/>
  <c r="I8" i="7"/>
  <c r="I7" i="7"/>
  <c r="I6" i="7"/>
  <c r="I5" i="7"/>
  <c r="I4" i="7"/>
</calcChain>
</file>

<file path=xl/sharedStrings.xml><?xml version="1.0" encoding="utf-8"?>
<sst xmlns="http://schemas.openxmlformats.org/spreadsheetml/2006/main" count="55" uniqueCount="40">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</sst>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justify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justify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6" fillId="5" borderId="1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tabSelected="1" zoomScale="91" workbookViewId="0">
      <selection activeCell="K20" sqref="K20"/>
    </sheetView>
  </sheetViews>
  <sheetFormatPr defaultRowHeight="14.4"/>
  <cols>
    <col min="2" max="2" width="10.44140625" customWidth="1"/>
  </cols>
  <sheetData>
    <row r="1" spans="1:9">
      <c r="A1" s="12" t="s">
        <v>4</v>
      </c>
      <c r="B1" s="15" t="s">
        <v>5</v>
      </c>
      <c r="C1" s="15" t="s">
        <v>6</v>
      </c>
      <c r="D1" s="15" t="s">
        <v>7</v>
      </c>
      <c r="E1" s="18" t="s">
        <v>8</v>
      </c>
      <c r="F1" s="19"/>
      <c r="G1" s="19"/>
      <c r="H1" s="19"/>
      <c r="I1" s="20"/>
    </row>
    <row r="2" spans="1:9">
      <c r="A2" s="13"/>
      <c r="B2" s="16"/>
      <c r="C2" s="16"/>
      <c r="D2" s="16"/>
      <c r="E2" s="21"/>
      <c r="F2" s="22"/>
      <c r="G2" s="22"/>
      <c r="H2" s="22"/>
      <c r="I2" s="23"/>
    </row>
    <row r="3" spans="1:9">
      <c r="A3" s="14"/>
      <c r="B3" s="17"/>
      <c r="C3" s="17"/>
      <c r="D3" s="17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ROUND(C4*D4/2,0)</f>
        <v>0</v>
      </c>
      <c r="F4" s="2">
        <f>ROUND(C4*D4/4,0)</f>
        <v>0</v>
      </c>
      <c r="G4" s="2">
        <f>ROUND(C4*D4*15/100,0)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14" si="0">ROUND(C5*D5/2,0)</f>
        <v>0</v>
      </c>
      <c r="F5" s="2">
        <f t="shared" ref="F5:F14" si="1">ROUND(C5*D5/4,0)</f>
        <v>0</v>
      </c>
      <c r="G5" s="2">
        <f>ROUND(C5*D5*15/100,0)</f>
        <v>0</v>
      </c>
      <c r="H5" s="2">
        <f t="shared" ref="H5:H14" si="2">I5-E5-F5-G5</f>
        <v>0</v>
      </c>
      <c r="I5" s="2">
        <f t="shared" ref="I5:I8" si="3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ref="G6:G14" si="4">ROUND(C6*D6*15/100,0)</f>
        <v>0</v>
      </c>
      <c r="H6" s="2">
        <f t="shared" si="2"/>
        <v>0</v>
      </c>
      <c r="I6" s="2">
        <f t="shared" si="3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4"/>
        <v>0</v>
      </c>
      <c r="H7" s="2">
        <f t="shared" si="2"/>
        <v>0</v>
      </c>
      <c r="I7" s="2">
        <f t="shared" si="3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4"/>
        <v>0</v>
      </c>
      <c r="H8" s="2">
        <f t="shared" si="2"/>
        <v>0</v>
      </c>
      <c r="I8" s="2">
        <f t="shared" si="3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si="0"/>
        <v>0</v>
      </c>
      <c r="F9" s="2">
        <f t="shared" si="1"/>
        <v>0</v>
      </c>
      <c r="G9" s="2">
        <f t="shared" si="4"/>
        <v>0</v>
      </c>
      <c r="H9" s="2">
        <f t="shared" si="2"/>
        <v>0</v>
      </c>
      <c r="I9" s="2">
        <f t="shared" ref="I9:I11" si="5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0"/>
        <v>0</v>
      </c>
      <c r="F10" s="2">
        <f t="shared" si="1"/>
        <v>0</v>
      </c>
      <c r="G10" s="2">
        <f t="shared" si="4"/>
        <v>0</v>
      </c>
      <c r="H10" s="2">
        <f t="shared" si="2"/>
        <v>0</v>
      </c>
      <c r="I10" s="2">
        <f t="shared" si="5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0"/>
        <v>0</v>
      </c>
      <c r="F11" s="2">
        <f t="shared" si="1"/>
        <v>0</v>
      </c>
      <c r="G11" s="2">
        <f t="shared" si="4"/>
        <v>0</v>
      </c>
      <c r="H11" s="2">
        <f t="shared" si="2"/>
        <v>0</v>
      </c>
      <c r="I11" s="2">
        <f t="shared" si="5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si="0"/>
        <v>0</v>
      </c>
      <c r="F12" s="2">
        <f t="shared" si="1"/>
        <v>0</v>
      </c>
      <c r="G12" s="2">
        <f t="shared" si="4"/>
        <v>0</v>
      </c>
      <c r="H12" s="2">
        <f t="shared" si="2"/>
        <v>0</v>
      </c>
      <c r="I12" s="2">
        <f t="shared" ref="I12:I14" si="6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0"/>
        <v>0</v>
      </c>
      <c r="F13" s="2">
        <f t="shared" si="1"/>
        <v>0</v>
      </c>
      <c r="G13" s="2">
        <f t="shared" si="4"/>
        <v>0</v>
      </c>
      <c r="H13" s="2">
        <f t="shared" si="2"/>
        <v>0</v>
      </c>
      <c r="I13" s="2">
        <f t="shared" si="6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0"/>
        <v>0</v>
      </c>
      <c r="F14" s="2">
        <f t="shared" si="1"/>
        <v>0</v>
      </c>
      <c r="G14" s="2">
        <f t="shared" si="4"/>
        <v>0</v>
      </c>
      <c r="H14" s="2">
        <f t="shared" si="2"/>
        <v>0</v>
      </c>
      <c r="I14" s="2">
        <f t="shared" si="6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workbookViewId="0">
      <selection activeCell="J21" sqref="J21"/>
    </sheetView>
  </sheetViews>
  <sheetFormatPr defaultRowHeight="14.4"/>
  <cols>
    <col min="5" max="9" width="8.88671875" customWidth="1"/>
  </cols>
  <sheetData>
    <row r="1" spans="1:17" ht="33.6" customHeight="1" thickBot="1">
      <c r="A1" s="27" t="s">
        <v>4</v>
      </c>
      <c r="B1" s="27" t="s">
        <v>21</v>
      </c>
      <c r="C1" s="27" t="s">
        <v>6</v>
      </c>
      <c r="D1" s="27" t="s">
        <v>22</v>
      </c>
      <c r="E1" s="29" t="s">
        <v>8</v>
      </c>
      <c r="F1" s="25"/>
      <c r="G1" s="25"/>
      <c r="H1" s="25"/>
      <c r="I1" s="26"/>
      <c r="J1" s="24" t="s">
        <v>23</v>
      </c>
      <c r="K1" s="25"/>
      <c r="L1" s="26"/>
      <c r="M1" s="24" t="s">
        <v>24</v>
      </c>
      <c r="N1" s="25"/>
      <c r="O1" s="25"/>
      <c r="P1" s="25"/>
      <c r="Q1" s="26"/>
    </row>
    <row r="2" spans="1:17" ht="32.4" customHeight="1" thickBot="1">
      <c r="A2" s="28"/>
      <c r="B2" s="28"/>
      <c r="C2" s="28"/>
      <c r="D2" s="28"/>
      <c r="E2" s="4" t="s">
        <v>25</v>
      </c>
      <c r="F2" s="4" t="s">
        <v>10</v>
      </c>
      <c r="G2" s="4" t="s">
        <v>26</v>
      </c>
      <c r="H2" s="4" t="s">
        <v>12</v>
      </c>
      <c r="I2" s="4" t="s">
        <v>3</v>
      </c>
      <c r="J2" s="4" t="s">
        <v>9</v>
      </c>
      <c r="K2" s="4" t="s">
        <v>10</v>
      </c>
      <c r="L2" s="4" t="s">
        <v>3</v>
      </c>
      <c r="M2" s="4" t="s">
        <v>9</v>
      </c>
      <c r="N2" s="4" t="s">
        <v>10</v>
      </c>
      <c r="O2" s="4" t="s">
        <v>11</v>
      </c>
      <c r="P2" s="4" t="s">
        <v>12</v>
      </c>
      <c r="Q2" s="4" t="s">
        <v>3</v>
      </c>
    </row>
    <row r="3" spans="1:17" ht="27" thickBot="1">
      <c r="A3" s="5" t="s">
        <v>27</v>
      </c>
      <c r="B3" s="6" t="s">
        <v>28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27" thickBot="1">
      <c r="A4" s="5" t="s">
        <v>29</v>
      </c>
      <c r="B4" s="6" t="s">
        <v>30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27" thickBot="1">
      <c r="A5" s="8">
        <v>1</v>
      </c>
      <c r="B5" s="9" t="s">
        <v>31</v>
      </c>
      <c r="C5" s="4">
        <v>9</v>
      </c>
      <c r="D5" s="10">
        <v>8</v>
      </c>
      <c r="E5" s="10">
        <v>1</v>
      </c>
      <c r="F5" s="10"/>
      <c r="G5" s="10"/>
      <c r="H5" s="10"/>
      <c r="I5" s="11">
        <v>1</v>
      </c>
      <c r="J5" s="10"/>
      <c r="K5" s="10"/>
      <c r="L5" s="10"/>
      <c r="M5" s="10">
        <v>1</v>
      </c>
      <c r="N5" s="10">
        <v>0</v>
      </c>
      <c r="O5" s="10"/>
      <c r="P5" s="10"/>
      <c r="Q5" s="10">
        <v>1</v>
      </c>
    </row>
    <row r="6" spans="1:17" ht="27" thickBot="1">
      <c r="A6" s="8">
        <v>2</v>
      </c>
      <c r="B6" s="9" t="s">
        <v>32</v>
      </c>
      <c r="C6" s="4">
        <v>4</v>
      </c>
      <c r="D6" s="10">
        <v>9</v>
      </c>
      <c r="E6" s="10">
        <v>1</v>
      </c>
      <c r="F6" s="10"/>
      <c r="G6" s="10"/>
      <c r="H6" s="10"/>
      <c r="I6" s="11">
        <v>1</v>
      </c>
      <c r="J6" s="10"/>
      <c r="K6" s="10"/>
      <c r="L6" s="10"/>
      <c r="M6" s="10">
        <v>1</v>
      </c>
      <c r="N6" s="10">
        <v>0</v>
      </c>
      <c r="O6" s="10"/>
      <c r="P6" s="10"/>
      <c r="Q6" s="10">
        <v>1</v>
      </c>
    </row>
    <row r="7" spans="1:17" ht="27" thickBot="1">
      <c r="A7" s="8">
        <v>3</v>
      </c>
      <c r="B7" s="9" t="s">
        <v>33</v>
      </c>
      <c r="C7" s="4">
        <v>4</v>
      </c>
      <c r="D7" s="10">
        <v>9</v>
      </c>
      <c r="E7" s="10">
        <v>1</v>
      </c>
      <c r="F7" s="10"/>
      <c r="G7" s="10"/>
      <c r="H7" s="10"/>
      <c r="I7" s="11">
        <v>1</v>
      </c>
      <c r="J7" s="10"/>
      <c r="K7" s="10"/>
      <c r="L7" s="10"/>
      <c r="M7" s="10">
        <v>1</v>
      </c>
      <c r="N7" s="10">
        <v>0</v>
      </c>
      <c r="O7" s="10"/>
      <c r="P7" s="10"/>
      <c r="Q7" s="10">
        <v>1</v>
      </c>
    </row>
    <row r="8" spans="1:17" ht="27" thickBot="1">
      <c r="A8" s="8">
        <v>4</v>
      </c>
      <c r="B8" s="9" t="s">
        <v>34</v>
      </c>
      <c r="C8" s="4">
        <v>8</v>
      </c>
      <c r="D8" s="10">
        <v>9</v>
      </c>
      <c r="E8" s="10">
        <v>1</v>
      </c>
      <c r="F8" s="10"/>
      <c r="G8" s="10"/>
      <c r="H8" s="10"/>
      <c r="I8" s="11">
        <v>1</v>
      </c>
      <c r="J8" s="10"/>
      <c r="K8" s="10"/>
      <c r="L8" s="10"/>
      <c r="M8" s="10">
        <v>1</v>
      </c>
      <c r="N8" s="10">
        <v>0</v>
      </c>
      <c r="O8" s="10"/>
      <c r="P8" s="10"/>
      <c r="Q8" s="10">
        <v>1</v>
      </c>
    </row>
    <row r="9" spans="1:17" ht="27" thickBot="1">
      <c r="A9" s="8">
        <v>5</v>
      </c>
      <c r="B9" s="9" t="s">
        <v>35</v>
      </c>
      <c r="C9" s="4">
        <v>9</v>
      </c>
      <c r="D9" s="10">
        <v>7.5</v>
      </c>
      <c r="E9" s="10">
        <v>1</v>
      </c>
      <c r="F9" s="10"/>
      <c r="G9" s="10"/>
      <c r="H9" s="10"/>
      <c r="I9" s="11">
        <v>1</v>
      </c>
      <c r="J9" s="10"/>
      <c r="K9" s="10"/>
      <c r="L9" s="10"/>
      <c r="M9" s="10">
        <v>1</v>
      </c>
      <c r="N9" s="10">
        <v>0</v>
      </c>
      <c r="O9" s="10"/>
      <c r="P9" s="10"/>
      <c r="Q9" s="10">
        <v>1</v>
      </c>
    </row>
    <row r="10" spans="1:17" ht="15" thickBot="1">
      <c r="A10" s="8">
        <v>6</v>
      </c>
      <c r="B10" s="9" t="s">
        <v>36</v>
      </c>
      <c r="C10" s="4">
        <v>72</v>
      </c>
      <c r="D10" s="10">
        <v>2</v>
      </c>
      <c r="E10" s="10">
        <v>1</v>
      </c>
      <c r="F10" s="10">
        <v>1</v>
      </c>
      <c r="G10" s="10"/>
      <c r="H10" s="10"/>
      <c r="I10" s="11">
        <v>2</v>
      </c>
      <c r="J10" s="10"/>
      <c r="K10" s="10"/>
      <c r="L10" s="10"/>
      <c r="M10" s="10">
        <v>1</v>
      </c>
      <c r="N10" s="10">
        <v>1</v>
      </c>
      <c r="O10" s="10"/>
      <c r="P10" s="10"/>
      <c r="Q10" s="10">
        <v>2</v>
      </c>
    </row>
    <row r="11" spans="1:17" ht="27" thickBot="1">
      <c r="A11" s="8">
        <v>7</v>
      </c>
      <c r="B11" s="9" t="s">
        <v>37</v>
      </c>
      <c r="C11" s="4">
        <v>8</v>
      </c>
      <c r="D11" s="10">
        <v>2</v>
      </c>
      <c r="E11" s="10">
        <v>1</v>
      </c>
      <c r="F11" s="10"/>
      <c r="G11" s="10"/>
      <c r="H11" s="10"/>
      <c r="I11" s="11">
        <v>1</v>
      </c>
      <c r="J11" s="10"/>
      <c r="K11" s="10"/>
      <c r="L11" s="10"/>
      <c r="M11" s="10">
        <v>1</v>
      </c>
      <c r="N11" s="10">
        <v>0</v>
      </c>
      <c r="O11" s="10"/>
      <c r="P11" s="10"/>
      <c r="Q11" s="10">
        <v>1</v>
      </c>
    </row>
    <row r="12" spans="1:17" ht="27" thickBot="1">
      <c r="A12" s="8">
        <v>8</v>
      </c>
      <c r="B12" s="9" t="s">
        <v>38</v>
      </c>
      <c r="C12" s="4">
        <v>36</v>
      </c>
      <c r="D12" s="10">
        <v>2</v>
      </c>
      <c r="E12" s="10">
        <v>1</v>
      </c>
      <c r="F12" s="10"/>
      <c r="G12" s="10"/>
      <c r="H12" s="10"/>
      <c r="I12" s="11">
        <v>1</v>
      </c>
      <c r="J12" s="10"/>
      <c r="K12" s="10"/>
      <c r="L12" s="10"/>
      <c r="M12" s="10">
        <v>1</v>
      </c>
      <c r="N12" s="10">
        <v>0</v>
      </c>
      <c r="O12" s="10"/>
      <c r="P12" s="10"/>
      <c r="Q12" s="10">
        <v>1</v>
      </c>
    </row>
    <row r="13" spans="1:17" ht="27" thickBot="1">
      <c r="A13" s="8">
        <v>9</v>
      </c>
      <c r="B13" s="9" t="s">
        <v>39</v>
      </c>
      <c r="C13" s="4">
        <v>486</v>
      </c>
      <c r="D13" s="10">
        <v>2</v>
      </c>
      <c r="E13" s="10">
        <v>7</v>
      </c>
      <c r="F13" s="10">
        <v>3</v>
      </c>
      <c r="G13" s="10"/>
      <c r="H13" s="10"/>
      <c r="I13" s="11">
        <v>10</v>
      </c>
      <c r="J13" s="10"/>
      <c r="K13" s="10"/>
      <c r="L13" s="10"/>
      <c r="M13" s="10">
        <v>7</v>
      </c>
      <c r="N13" s="10">
        <v>3</v>
      </c>
      <c r="O13" s="10"/>
      <c r="P13" s="10"/>
      <c r="Q13" s="10">
        <v>10</v>
      </c>
    </row>
    <row r="14" spans="1:17" ht="15" thickBot="1">
      <c r="A14" s="8">
        <v>10</v>
      </c>
      <c r="B14" s="9" t="s">
        <v>13</v>
      </c>
      <c r="C14" s="4">
        <v>42</v>
      </c>
      <c r="D14" s="10">
        <v>2</v>
      </c>
      <c r="E14" s="10">
        <v>1</v>
      </c>
      <c r="F14" s="10"/>
      <c r="G14" s="10"/>
      <c r="H14" s="10"/>
      <c r="I14" s="11">
        <v>1</v>
      </c>
      <c r="J14" s="10"/>
      <c r="K14" s="10"/>
      <c r="L14" s="10"/>
      <c r="M14" s="10">
        <v>1</v>
      </c>
      <c r="N14" s="10">
        <v>0</v>
      </c>
      <c r="O14" s="10"/>
      <c r="P14" s="10"/>
      <c r="Q14" s="10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SuaChua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Minh Thai</cp:lastModifiedBy>
  <dcterms:created xsi:type="dcterms:W3CDTF">2025-12-02T15:26:00Z</dcterms:created>
  <dcterms:modified xsi:type="dcterms:W3CDTF">2026-03-11T16:25:33Z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