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codenew\Resources\Sheet\"/>
    </mc:Choice>
  </mc:AlternateContent>
  <xr:revisionPtr revIDLastSave="0" documentId="13_ncr:1_{8B0A4405-30BD-43DC-9953-F9AEF028C9CD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SuaChua" sheetId="7" r:id="rId1"/>
    <sheet name="KeHoachSuaChua" sheetId="10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" i="7" l="1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H14" i="7" l="1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H5" i="7" l="1"/>
  <c r="H7" i="7"/>
</calcChain>
</file>

<file path=xl/sharedStrings.xml><?xml version="1.0" encoding="utf-8"?>
<sst xmlns="http://schemas.openxmlformats.org/spreadsheetml/2006/main" count="55" uniqueCount="40">
  <si>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</si>
  <si>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</si>
  <si>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</si>
  <si>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</si>
  <si>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</si>
  <si>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</si>
  <si>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</si>
  <si>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</si>
  <si>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</si>
  <si>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</si>
  <si>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</si>
  <si>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</si>
  <si>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</si>
  <si>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</si>
  <si>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</si>
  <si>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</si>
  <si>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</si>
  <si>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</si>
  <si>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</si>
  <si>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</si>
  <si>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</si>
  <si>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Loại TBKT</t>
  </si>
  <si>
    <t>Dự kiến tỉ lệ hư hỏng 1 ngày đêm (%)</t>
  </si>
  <si>
    <t>Khả năng sửa chữa trong 1 ngày đêm</t>
  </si>
  <si>
    <t>Còn lại chưa sửa chữa được</t>
  </si>
  <si>
    <t xml:space="preserve">Nhẹ </t>
  </si>
  <si>
    <t xml:space="preserve">Nặng </t>
  </si>
  <si>
    <t>I</t>
  </si>
  <si>
    <t>GĐ CB CĐ</t>
  </si>
  <si>
    <t>II</t>
  </si>
  <si>
    <t>GĐ TH CĐ</t>
  </si>
  <si>
    <t>SMPK 12,7mm</t>
  </si>
  <si>
    <t>Cối 100mm</t>
  </si>
  <si>
    <t>Cối 82mm</t>
  </si>
  <si>
    <t>Cối 60mm</t>
  </si>
  <si>
    <t>Súng SPG-9</t>
  </si>
  <si>
    <t>Súng B41</t>
  </si>
  <si>
    <t>Súng đại liên</t>
  </si>
  <si>
    <t>Súng trung liên</t>
  </si>
  <si>
    <t>Súng tiểu liên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</si>
</sst>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3" borderId="5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justify" vertical="center" wrapText="1"/>
    </xf>
    <xf numFmtId="0" fontId="3" fillId="0" borderId="17" xfId="0" applyFont="1" applyBorder="1" applyAlignment="1">
      <alignment horizontal="center" vertical="center" wrapText="1"/>
    </xf>
    <xf numFmtId="0" fontId="4" fillId="0" borderId="18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justify" vertical="center" wrapText="1"/>
    </xf>
    <xf numFmtId="0" fontId="5" fillId="5" borderId="17" xfId="0" applyFont="1" applyFill="1" applyBorder="1" applyAlignment="1">
      <alignment horizontal="center" vertical="center" wrapText="1"/>
    </xf>
    <xf numFmtId="0" fontId="6" fillId="5" borderId="17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center" wrapText="1"/>
    </xf>
    <xf numFmtId="0" fontId="1" fillId="3" borderId="10" xfId="0" applyFont="1" applyFill="1" applyBorder="1" applyAlignment="1">
      <alignment horizontal="center" vertical="center" wrapText="1"/>
    </xf>
    <xf numFmtId="0" fontId="1" fillId="3" borderId="9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7" xfId="0" applyFont="1" applyFill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zoomScale="91" workbookViewId="0">
      <selection activeCell="D4" sqref="D4"/>
    </sheetView>
  </sheetViews>
  <sheetFormatPr defaultRowHeight="15"/>
  <cols>
    <col min="2" max="2" width="10.42578125" customWidth="1"/>
  </cols>
  <sheetData>
    <row r="1" spans="1:9">
      <c r="A1" s="12" t="s">
        <v>4</v>
      </c>
      <c r="B1" s="15" t="s">
        <v>5</v>
      </c>
      <c r="C1" s="15" t="s">
        <v>6</v>
      </c>
      <c r="D1" s="15" t="s">
        <v>7</v>
      </c>
      <c r="E1" s="18" t="s">
        <v>8</v>
      </c>
      <c r="F1" s="19"/>
      <c r="G1" s="19"/>
      <c r="H1" s="19"/>
      <c r="I1" s="20"/>
    </row>
    <row r="2" spans="1:9">
      <c r="A2" s="13"/>
      <c r="B2" s="16"/>
      <c r="C2" s="16"/>
      <c r="D2" s="16"/>
      <c r="E2" s="21"/>
      <c r="F2" s="22"/>
      <c r="G2" s="22"/>
      <c r="H2" s="22"/>
      <c r="I2" s="23"/>
    </row>
    <row r="3" spans="1:9">
      <c r="A3" s="14"/>
      <c r="B3" s="17"/>
      <c r="C3" s="17"/>
      <c r="D3" s="17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ROUNDUP(I4*0.5,0)</f>
        <v>0</v>
      </c>
      <c r="F4" s="2">
        <f>ROUND(I4*0.25,0)</f>
        <v>0</v>
      </c>
      <c r="G4" s="2">
        <f>ROUND(I4*0.15,0)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8" si="0">ROUNDUP(I5*0.5,0)</f>
        <v>0</v>
      </c>
      <c r="F5" s="2">
        <f t="shared" ref="F5:F8" si="1">ROUND(I5*0.25,0)</f>
        <v>0</v>
      </c>
      <c r="G5" s="2">
        <f t="shared" ref="G5:G8" si="2">ROUND(I5*0.15,0)</f>
        <v>0</v>
      </c>
      <c r="H5" s="2">
        <f t="shared" ref="H5:H8" si="3">I5-E5-F5-G5</f>
        <v>0</v>
      </c>
      <c r="I5" s="2">
        <f t="shared" ref="I5:I8" si="4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si="2"/>
        <v>0</v>
      </c>
      <c r="H6" s="2">
        <f t="shared" si="3"/>
        <v>0</v>
      </c>
      <c r="I6" s="2">
        <f t="shared" si="4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2"/>
        <v>0</v>
      </c>
      <c r="H7" s="2">
        <f t="shared" si="3"/>
        <v>0</v>
      </c>
      <c r="I7" s="2">
        <f t="shared" si="4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2"/>
        <v>0</v>
      </c>
      <c r="H8" s="2">
        <f t="shared" si="3"/>
        <v>0</v>
      </c>
      <c r="I8" s="2">
        <f t="shared" si="4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ref="E9:E11" si="5">ROUNDUP(I9*0.5,0)</f>
        <v>0</v>
      </c>
      <c r="F9" s="2">
        <f t="shared" ref="F9:F11" si="6">ROUND(I9*0.25,0)</f>
        <v>0</v>
      </c>
      <c r="G9" s="2">
        <f t="shared" ref="G9:G11" si="7">ROUND(I9*0.15,0)</f>
        <v>0</v>
      </c>
      <c r="H9" s="2">
        <f t="shared" ref="H9:H11" si="8">I9-E9-F9-G9</f>
        <v>0</v>
      </c>
      <c r="I9" s="2">
        <f t="shared" ref="I9:I11" si="9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5"/>
        <v>0</v>
      </c>
      <c r="F10" s="2">
        <f t="shared" si="6"/>
        <v>0</v>
      </c>
      <c r="G10" s="2">
        <f t="shared" si="7"/>
        <v>0</v>
      </c>
      <c r="H10" s="2">
        <f t="shared" si="8"/>
        <v>0</v>
      </c>
      <c r="I10" s="2">
        <f t="shared" si="9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5"/>
        <v>0</v>
      </c>
      <c r="F11" s="2">
        <f t="shared" si="6"/>
        <v>0</v>
      </c>
      <c r="G11" s="2">
        <f t="shared" si="7"/>
        <v>0</v>
      </c>
      <c r="H11" s="2">
        <f t="shared" si="8"/>
        <v>0</v>
      </c>
      <c r="I11" s="2">
        <f t="shared" si="9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ref="E12:E14" si="10">ROUNDUP(I12*0.5,0)</f>
        <v>0</v>
      </c>
      <c r="F12" s="2">
        <f t="shared" ref="F12:F14" si="11">ROUND(I12*0.25,0)</f>
        <v>0</v>
      </c>
      <c r="G12" s="2">
        <f t="shared" ref="G12:G14" si="12">ROUND(I12*0.15,0)</f>
        <v>0</v>
      </c>
      <c r="H12" s="2">
        <f t="shared" ref="H12:H14" si="13">I12-E12-F12-G12</f>
        <v>0</v>
      </c>
      <c r="I12" s="2">
        <f t="shared" ref="I12:I14" si="14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10"/>
        <v>0</v>
      </c>
      <c r="F13" s="2">
        <f t="shared" si="11"/>
        <v>0</v>
      </c>
      <c r="G13" s="2">
        <f t="shared" si="12"/>
        <v>0</v>
      </c>
      <c r="H13" s="2">
        <f t="shared" si="13"/>
        <v>0</v>
      </c>
      <c r="I13" s="2">
        <f t="shared" si="14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10"/>
        <v>0</v>
      </c>
      <c r="F14" s="2">
        <f t="shared" si="11"/>
        <v>0</v>
      </c>
      <c r="G14" s="2">
        <f t="shared" si="12"/>
        <v>0</v>
      </c>
      <c r="H14" s="2">
        <f t="shared" si="13"/>
        <v>0</v>
      </c>
      <c r="I14" s="2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7497-2FA8-4780-A781-D58241AE9548}">
  <dimension ref="A1:Q14"/>
  <sheetViews>
    <sheetView tabSelected="1" workbookViewId="0">
      <selection activeCell="J21" sqref="J21"/>
    </sheetView>
  </sheetViews>
  <sheetFormatPr defaultRowHeight="15"/>
  <cols>
    <col min="5" max="9" width="8.85546875" customWidth="1"/>
  </cols>
  <sheetData>
    <row r="1" spans="1:17" ht="33.6" customHeight="1" thickBot="1">
      <c r="A1" s="27" t="s">
        <v>4</v>
      </c>
      <c r="B1" s="27" t="s">
        <v>21</v>
      </c>
      <c r="C1" s="27" t="s">
        <v>6</v>
      </c>
      <c r="D1" s="27" t="s">
        <v>22</v>
      </c>
      <c r="E1" s="29" t="s">
        <v>8</v>
      </c>
      <c r="F1" s="25"/>
      <c r="G1" s="25"/>
      <c r="H1" s="25"/>
      <c r="I1" s="26"/>
      <c r="J1" s="24" t="s">
        <v>23</v>
      </c>
      <c r="K1" s="25"/>
      <c r="L1" s="26"/>
      <c r="M1" s="24" t="s">
        <v>24</v>
      </c>
      <c r="N1" s="25"/>
      <c r="O1" s="25"/>
      <c r="P1" s="25"/>
      <c r="Q1" s="26"/>
    </row>
    <row r="2" spans="1:17" ht="32.450000000000003" customHeight="1" thickBot="1">
      <c r="A2" s="28"/>
      <c r="B2" s="28"/>
      <c r="C2" s="28"/>
      <c r="D2" s="28"/>
      <c r="E2" s="4" t="s">
        <v>25</v>
      </c>
      <c r="F2" s="4" t="s">
        <v>10</v>
      </c>
      <c r="G2" s="4" t="s">
        <v>26</v>
      </c>
      <c r="H2" s="4" t="s">
        <v>12</v>
      </c>
      <c r="I2" s="4" t="s">
        <v>3</v>
      </c>
      <c r="J2" s="4" t="s">
        <v>9</v>
      </c>
      <c r="K2" s="4" t="s">
        <v>10</v>
      </c>
      <c r="L2" s="4" t="s">
        <v>3</v>
      </c>
      <c r="M2" s="4" t="s">
        <v>9</v>
      </c>
      <c r="N2" s="4" t="s">
        <v>10</v>
      </c>
      <c r="O2" s="4" t="s">
        <v>11</v>
      </c>
      <c r="P2" s="4" t="s">
        <v>12</v>
      </c>
      <c r="Q2" s="4" t="s">
        <v>3</v>
      </c>
    </row>
    <row r="3" spans="1:17" ht="26.25" thickBot="1">
      <c r="A3" s="5" t="s">
        <v>27</v>
      </c>
      <c r="B3" s="6" t="s">
        <v>28</v>
      </c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</row>
    <row r="4" spans="1:17" ht="26.25" thickBot="1">
      <c r="A4" s="5" t="s">
        <v>29</v>
      </c>
      <c r="B4" s="6" t="s">
        <v>30</v>
      </c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26.25" thickBot="1">
      <c r="A5" s="8">
        <v>1</v>
      </c>
      <c r="B5" s="9" t="s">
        <v>31</v>
      </c>
      <c r="C5" s="4">
        <v>9</v>
      </c>
      <c r="D5" s="10">
        <v>8</v>
      </c>
      <c r="E5" s="10">
        <v>1</v>
      </c>
      <c r="F5" s="10"/>
      <c r="G5" s="10"/>
      <c r="H5" s="10"/>
      <c r="I5" s="11">
        <v>1</v>
      </c>
      <c r="J5" s="10"/>
      <c r="K5" s="10"/>
      <c r="L5" s="10"/>
      <c r="M5" s="10">
        <v>1</v>
      </c>
      <c r="N5" s="10">
        <v>0</v>
      </c>
      <c r="O5" s="10"/>
      <c r="P5" s="10"/>
      <c r="Q5" s="10">
        <v>1</v>
      </c>
    </row>
    <row r="6" spans="1:17" ht="15.75" thickBot="1">
      <c r="A6" s="8">
        <v>2</v>
      </c>
      <c r="B6" s="9" t="s">
        <v>32</v>
      </c>
      <c r="C6" s="4">
        <v>4</v>
      </c>
      <c r="D6" s="10">
        <v>9</v>
      </c>
      <c r="E6" s="10">
        <v>1</v>
      </c>
      <c r="F6" s="10"/>
      <c r="G6" s="10"/>
      <c r="H6" s="10"/>
      <c r="I6" s="11">
        <v>1</v>
      </c>
      <c r="J6" s="10"/>
      <c r="K6" s="10"/>
      <c r="L6" s="10"/>
      <c r="M6" s="10">
        <v>1</v>
      </c>
      <c r="N6" s="10">
        <v>0</v>
      </c>
      <c r="O6" s="10"/>
      <c r="P6" s="10"/>
      <c r="Q6" s="10">
        <v>1</v>
      </c>
    </row>
    <row r="7" spans="1:17" ht="15.75" thickBot="1">
      <c r="A7" s="8">
        <v>3</v>
      </c>
      <c r="B7" s="9" t="s">
        <v>33</v>
      </c>
      <c r="C7" s="4">
        <v>4</v>
      </c>
      <c r="D7" s="10">
        <v>9</v>
      </c>
      <c r="E7" s="10">
        <v>1</v>
      </c>
      <c r="F7" s="10"/>
      <c r="G7" s="10"/>
      <c r="H7" s="10"/>
      <c r="I7" s="11">
        <v>1</v>
      </c>
      <c r="J7" s="10"/>
      <c r="K7" s="10"/>
      <c r="L7" s="10"/>
      <c r="M7" s="10">
        <v>1</v>
      </c>
      <c r="N7" s="10">
        <v>0</v>
      </c>
      <c r="O7" s="10"/>
      <c r="P7" s="10"/>
      <c r="Q7" s="10">
        <v>1</v>
      </c>
    </row>
    <row r="8" spans="1:17" ht="15.75" thickBot="1">
      <c r="A8" s="8">
        <v>4</v>
      </c>
      <c r="B8" s="9" t="s">
        <v>34</v>
      </c>
      <c r="C8" s="4">
        <v>8</v>
      </c>
      <c r="D8" s="10">
        <v>9</v>
      </c>
      <c r="E8" s="10">
        <v>1</v>
      </c>
      <c r="F8" s="10"/>
      <c r="G8" s="10"/>
      <c r="H8" s="10"/>
      <c r="I8" s="11">
        <v>1</v>
      </c>
      <c r="J8" s="10"/>
      <c r="K8" s="10"/>
      <c r="L8" s="10"/>
      <c r="M8" s="10">
        <v>1</v>
      </c>
      <c r="N8" s="10">
        <v>0</v>
      </c>
      <c r="O8" s="10"/>
      <c r="P8" s="10"/>
      <c r="Q8" s="10">
        <v>1</v>
      </c>
    </row>
    <row r="9" spans="1:17" ht="26.25" thickBot="1">
      <c r="A9" s="8">
        <v>5</v>
      </c>
      <c r="B9" s="9" t="s">
        <v>35</v>
      </c>
      <c r="C9" s="4">
        <v>9</v>
      </c>
      <c r="D9" s="10">
        <v>7.5</v>
      </c>
      <c r="E9" s="10">
        <v>1</v>
      </c>
      <c r="F9" s="10"/>
      <c r="G9" s="10"/>
      <c r="H9" s="10"/>
      <c r="I9" s="11">
        <v>1</v>
      </c>
      <c r="J9" s="10"/>
      <c r="K9" s="10"/>
      <c r="L9" s="10"/>
      <c r="M9" s="10">
        <v>1</v>
      </c>
      <c r="N9" s="10">
        <v>0</v>
      </c>
      <c r="O9" s="10"/>
      <c r="P9" s="10"/>
      <c r="Q9" s="10">
        <v>1</v>
      </c>
    </row>
    <row r="10" spans="1:17" ht="15.75" thickBot="1">
      <c r="A10" s="8">
        <v>6</v>
      </c>
      <c r="B10" s="9" t="s">
        <v>36</v>
      </c>
      <c r="C10" s="4">
        <v>72</v>
      </c>
      <c r="D10" s="10">
        <v>2</v>
      </c>
      <c r="E10" s="10">
        <v>1</v>
      </c>
      <c r="F10" s="10">
        <v>1</v>
      </c>
      <c r="G10" s="10"/>
      <c r="H10" s="10"/>
      <c r="I10" s="11">
        <v>2</v>
      </c>
      <c r="J10" s="10"/>
      <c r="K10" s="10"/>
      <c r="L10" s="10"/>
      <c r="M10" s="10">
        <v>1</v>
      </c>
      <c r="N10" s="10">
        <v>1</v>
      </c>
      <c r="O10" s="10"/>
      <c r="P10" s="10"/>
      <c r="Q10" s="10">
        <v>2</v>
      </c>
    </row>
    <row r="11" spans="1:17" ht="26.25" thickBot="1">
      <c r="A11" s="8">
        <v>7</v>
      </c>
      <c r="B11" s="9" t="s">
        <v>37</v>
      </c>
      <c r="C11" s="4">
        <v>8</v>
      </c>
      <c r="D11" s="10">
        <v>2</v>
      </c>
      <c r="E11" s="10">
        <v>1</v>
      </c>
      <c r="F11" s="10"/>
      <c r="G11" s="10"/>
      <c r="H11" s="10"/>
      <c r="I11" s="11">
        <v>1</v>
      </c>
      <c r="J11" s="10"/>
      <c r="K11" s="10"/>
      <c r="L11" s="10"/>
      <c r="M11" s="10">
        <v>1</v>
      </c>
      <c r="N11" s="10">
        <v>0</v>
      </c>
      <c r="O11" s="10"/>
      <c r="P11" s="10"/>
      <c r="Q11" s="10">
        <v>1</v>
      </c>
    </row>
    <row r="12" spans="1:17" ht="26.25" thickBot="1">
      <c r="A12" s="8">
        <v>8</v>
      </c>
      <c r="B12" s="9" t="s">
        <v>38</v>
      </c>
      <c r="C12" s="4">
        <v>36</v>
      </c>
      <c r="D12" s="10">
        <v>2</v>
      </c>
      <c r="E12" s="10">
        <v>1</v>
      </c>
      <c r="F12" s="10"/>
      <c r="G12" s="10"/>
      <c r="H12" s="10"/>
      <c r="I12" s="11">
        <v>1</v>
      </c>
      <c r="J12" s="10"/>
      <c r="K12" s="10"/>
      <c r="L12" s="10"/>
      <c r="M12" s="10">
        <v>1</v>
      </c>
      <c r="N12" s="10">
        <v>0</v>
      </c>
      <c r="O12" s="10"/>
      <c r="P12" s="10"/>
      <c r="Q12" s="10">
        <v>1</v>
      </c>
    </row>
    <row r="13" spans="1:17" ht="26.25" thickBot="1">
      <c r="A13" s="8">
        <v>9</v>
      </c>
      <c r="B13" s="9" t="s">
        <v>39</v>
      </c>
      <c r="C13" s="4">
        <v>486</v>
      </c>
      <c r="D13" s="10">
        <v>2</v>
      </c>
      <c r="E13" s="10">
        <v>7</v>
      </c>
      <c r="F13" s="10">
        <v>3</v>
      </c>
      <c r="G13" s="10"/>
      <c r="H13" s="10"/>
      <c r="I13" s="11">
        <v>10</v>
      </c>
      <c r="J13" s="10"/>
      <c r="K13" s="10"/>
      <c r="L13" s="10"/>
      <c r="M13" s="10">
        <v>7</v>
      </c>
      <c r="N13" s="10">
        <v>3</v>
      </c>
      <c r="O13" s="10"/>
      <c r="P13" s="10"/>
      <c r="Q13" s="10">
        <v>10</v>
      </c>
    </row>
    <row r="14" spans="1:17" ht="26.25" thickBot="1">
      <c r="A14" s="8">
        <v>10</v>
      </c>
      <c r="B14" s="9" t="s">
        <v>13</v>
      </c>
      <c r="C14" s="4">
        <v>42</v>
      </c>
      <c r="D14" s="10">
        <v>2</v>
      </c>
      <c r="E14" s="10">
        <v>1</v>
      </c>
      <c r="F14" s="10"/>
      <c r="G14" s="10"/>
      <c r="H14" s="10"/>
      <c r="I14" s="11">
        <v>1</v>
      </c>
      <c r="J14" s="10"/>
      <c r="K14" s="10"/>
      <c r="L14" s="10"/>
      <c r="M14" s="10">
        <v>1</v>
      </c>
      <c r="N14" s="10">
        <v>0</v>
      </c>
      <c r="O14" s="10"/>
      <c r="P14" s="10"/>
      <c r="Q14" s="10">
        <v>1</v>
      </c>
    </row>
  </sheetData>
  <mergeCells count="7">
    <mergeCell ref="M1:Q1"/>
    <mergeCell ref="A1:A2"/>
    <mergeCell ref="B1:B2"/>
    <mergeCell ref="C1:C2"/>
    <mergeCell ref="D1:D2"/>
    <mergeCell ref="E1:I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2</vt:i4>
      </vt:variant>
    </vt:vector>
  </HeadingPairs>
  <TitlesOfParts>
    <vt:vector size="2" baseType="lpstr">
      <vt:lpstr>SuaChua</vt:lpstr>
      <vt:lpstr>KeHoachSuaChua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2026-03-11T11:23:41Z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