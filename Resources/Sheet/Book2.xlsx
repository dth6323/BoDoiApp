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Code\BODOIAPP\Resources\Sheet\"/>
    </mc:Choice>
  </mc:AlternateContent>
  <xr:revisionPtr revIDLastSave="0" documentId="13_ncr:1_{72A65D87-F26B-4B2C-BBC7-99C41E8488E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aChua" sheetId="7" r:id="rId1"/>
    <sheet name="BaoDamQuanY" sheetId="8" r:id="rId2"/>
    <sheet name="KeHoachBaoDamQuanY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9" l="1"/>
  <c r="L6" i="9"/>
  <c r="M6" i="9"/>
  <c r="K7" i="9"/>
  <c r="L7" i="9"/>
  <c r="M7" i="9"/>
  <c r="K8" i="9"/>
  <c r="L8" i="9"/>
  <c r="M8" i="9"/>
  <c r="K9" i="9"/>
  <c r="L9" i="9"/>
  <c r="M9" i="9"/>
  <c r="K10" i="9"/>
  <c r="L10" i="9"/>
  <c r="M10" i="9"/>
  <c r="K11" i="9"/>
  <c r="L11" i="9"/>
  <c r="M11" i="9"/>
  <c r="J6" i="9"/>
  <c r="J7" i="9"/>
  <c r="J8" i="9"/>
  <c r="J9" i="9"/>
  <c r="J10" i="9"/>
  <c r="J11" i="9"/>
  <c r="I6" i="9"/>
  <c r="I7" i="9"/>
  <c r="I8" i="9"/>
  <c r="I9" i="9"/>
  <c r="I10" i="9"/>
  <c r="I11" i="9"/>
  <c r="G6" i="9"/>
  <c r="G7" i="9"/>
  <c r="G8" i="9"/>
  <c r="G9" i="9"/>
  <c r="G10" i="9"/>
  <c r="G11" i="9"/>
  <c r="E6" i="9"/>
  <c r="E7" i="9"/>
  <c r="E8" i="9"/>
  <c r="E9" i="9"/>
  <c r="E10" i="9"/>
  <c r="E11" i="9"/>
  <c r="C12" i="9"/>
  <c r="E12" i="9" s="1"/>
  <c r="I5" i="9"/>
  <c r="E5" i="9"/>
  <c r="E6" i="8"/>
  <c r="G6" i="8"/>
  <c r="I6" i="8"/>
  <c r="J6" i="8"/>
  <c r="E7" i="8"/>
  <c r="G7" i="8" s="1"/>
  <c r="I7" i="8"/>
  <c r="J7" i="8" s="1"/>
  <c r="E8" i="8"/>
  <c r="G8" i="8"/>
  <c r="I8" i="8"/>
  <c r="J8" i="8" s="1"/>
  <c r="E9" i="8"/>
  <c r="G9" i="8"/>
  <c r="I9" i="8"/>
  <c r="J9" i="8"/>
  <c r="E10" i="8"/>
  <c r="G10" i="8"/>
  <c r="I10" i="8"/>
  <c r="J10" i="8"/>
  <c r="E11" i="8"/>
  <c r="G11" i="8"/>
  <c r="I11" i="8"/>
  <c r="J11" i="8"/>
  <c r="C12" i="8"/>
  <c r="E12" i="8" s="1"/>
  <c r="I5" i="8"/>
  <c r="E5" i="8"/>
  <c r="G5" i="8" s="1"/>
  <c r="I14" i="7"/>
  <c r="E14" i="7" s="1"/>
  <c r="I12" i="7"/>
  <c r="E12" i="7" s="1"/>
  <c r="I13" i="7"/>
  <c r="E13" i="7" s="1"/>
  <c r="I9" i="7"/>
  <c r="E9" i="7" s="1"/>
  <c r="I10" i="7"/>
  <c r="E10" i="7" s="1"/>
  <c r="I11" i="7"/>
  <c r="G11" i="7" s="1"/>
  <c r="I8" i="7"/>
  <c r="G8" i="7" s="1"/>
  <c r="I7" i="7"/>
  <c r="F7" i="7" s="1"/>
  <c r="I6" i="7"/>
  <c r="E6" i="7" s="1"/>
  <c r="F6" i="7"/>
  <c r="I5" i="7"/>
  <c r="E5" i="7" s="1"/>
  <c r="I4" i="7"/>
  <c r="E4" i="7" s="1"/>
  <c r="J5" i="9" l="1"/>
  <c r="M5" i="9" s="1"/>
  <c r="G5" i="9"/>
  <c r="J5" i="8"/>
  <c r="H14" i="7"/>
  <c r="G14" i="7"/>
  <c r="F14" i="7"/>
  <c r="F12" i="7"/>
  <c r="G13" i="7"/>
  <c r="F13" i="7"/>
  <c r="H13" i="7" s="1"/>
  <c r="G12" i="7"/>
  <c r="H12" i="7" s="1"/>
  <c r="F11" i="7"/>
  <c r="E11" i="7"/>
  <c r="H11" i="7" s="1"/>
  <c r="G10" i="7"/>
  <c r="F10" i="7"/>
  <c r="H10" i="7" s="1"/>
  <c r="E7" i="7"/>
  <c r="G7" i="7"/>
  <c r="G6" i="7"/>
  <c r="H6" i="7"/>
  <c r="F5" i="7"/>
  <c r="G5" i="7"/>
  <c r="G4" i="7"/>
  <c r="F4" i="7"/>
  <c r="H4" i="7" s="1"/>
  <c r="G9" i="7"/>
  <c r="F9" i="7"/>
  <c r="H9" i="7" s="1"/>
  <c r="F8" i="7"/>
  <c r="E8" i="7"/>
  <c r="H8" i="7" s="1"/>
  <c r="K5" i="9" l="1"/>
  <c r="L5" i="9" s="1"/>
  <c r="H5" i="7"/>
  <c r="H7" i="7"/>
</calcChain>
</file>

<file path=xl/sharedStrings.xml><?xml version="1.0" encoding="utf-8"?>
<sst xmlns="http://schemas.openxmlformats.org/spreadsheetml/2006/main" count="83" uniqueCount="44">
  <si>
    <t>Lựu đạn</t>
  </si>
  <si>
    <t>B41, M79</t>
  </si>
  <si>
    <t>SPG9</t>
  </si>
  <si>
    <t>+</t>
  </si>
  <si>
    <t>TT</t>
  </si>
  <si>
    <t>Loại VKTBKT</t>
  </si>
  <si>
    <t>Số lượng TBKT tham gia CĐ</t>
  </si>
  <si>
    <t>Dự kiến tỷ lệ hư hỏng 1 ngày đêm (%)</t>
  </si>
  <si>
    <t>Tổng số TBKT hư hỏng</t>
  </si>
  <si>
    <t>Nhẹ</t>
  </si>
  <si>
    <t>Vừa</t>
  </si>
  <si>
    <t>Nặng</t>
  </si>
  <si>
    <t>Hủy</t>
  </si>
  <si>
    <t>Súng ngắn</t>
  </si>
  <si>
    <t>Tiểu liên</t>
  </si>
  <si>
    <t>Trung liên</t>
  </si>
  <si>
    <t>Đại liên</t>
  </si>
  <si>
    <t>Cối 60</t>
  </si>
  <si>
    <t>Cối 82</t>
  </si>
  <si>
    <t>Cối 100</t>
  </si>
  <si>
    <t>Pháo PK 12.7</t>
  </si>
  <si>
    <t>Nội dung</t>
  </si>
  <si>
    <t>Quân số</t>
  </si>
  <si>
    <t>Dự kiến tỷ lệ TBB</t>
  </si>
  <si>
    <t>TB</t>
  </si>
  <si>
    <t>BB</t>
  </si>
  <si>
    <t>%QS</t>
  </si>
  <si>
    <t>Số người</t>
  </si>
  <si>
    <t>TBHH</t>
  </si>
  <si>
    <t>Người</t>
  </si>
  <si>
    <t>Toàn trận</t>
  </si>
  <si>
    <t>-</t>
  </si>
  <si>
    <t>Hướng chủ yếu</t>
  </si>
  <si>
    <t>Hướng thứ yếu</t>
  </si>
  <si>
    <t>Ngày cao nhất</t>
  </si>
  <si>
    <t>Phòng ngự phía sau</t>
  </si>
  <si>
    <t>CĐ vòng ngoài</t>
  </si>
  <si>
    <t>Dự bị cơ động</t>
  </si>
  <si>
    <t>LL còn lại</t>
  </si>
  <si>
    <t xml:space="preserve"> </t>
  </si>
  <si>
    <t>Phân bổ chuyển thương</t>
  </si>
  <si>
    <t>Cáng bộ</t>
  </si>
  <si>
    <t>Tự đi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</si>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</sst>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6" borderId="5" xfId="0" applyFill="1" applyBorder="1"/>
    <xf numFmtId="0" fontId="5" fillId="6" borderId="8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2AC3B-8D90-4B0D-96EA-52FB68143200}">
  <dimension ref="A1:I14"/>
  <sheetViews>
    <sheetView zoomScale="91" workbookViewId="0">
      <selection activeCell="G15" sqref="G15"/>
    </sheetView>
  </sheetViews>
  <sheetFormatPr defaultRowHeight="14.4"/>
  <cols>
    <col min="2" max="2" width="10.44140625" customWidth="1"/>
  </cols>
  <sheetData>
    <row r="1" spans="1:9">
      <c r="A1" s="22" t="s">
        <v>4</v>
      </c>
      <c r="B1" s="25" t="s">
        <v>5</v>
      </c>
      <c r="C1" s="25" t="s">
        <v>6</v>
      </c>
      <c r="D1" s="25" t="s">
        <v>7</v>
      </c>
      <c r="E1" s="28" t="s">
        <v>8</v>
      </c>
      <c r="F1" s="29"/>
      <c r="G1" s="29"/>
      <c r="H1" s="29"/>
      <c r="I1" s="30"/>
    </row>
    <row r="2" spans="1:9">
      <c r="A2" s="23"/>
      <c r="B2" s="26"/>
      <c r="C2" s="26"/>
      <c r="D2" s="26"/>
      <c r="E2" s="31"/>
      <c r="F2" s="32"/>
      <c r="G2" s="32"/>
      <c r="H2" s="32"/>
      <c r="I2" s="33"/>
    </row>
    <row r="3" spans="1:9">
      <c r="A3" s="24"/>
      <c r="B3" s="27"/>
      <c r="C3" s="27"/>
      <c r="D3" s="27"/>
      <c r="E3" s="1" t="s">
        <v>9</v>
      </c>
      <c r="F3" s="1" t="s">
        <v>10</v>
      </c>
      <c r="G3" s="1" t="s">
        <v>11</v>
      </c>
      <c r="H3" s="1" t="s">
        <v>12</v>
      </c>
      <c r="I3" s="1" t="s">
        <v>3</v>
      </c>
    </row>
    <row r="4" spans="1:9">
      <c r="A4" s="2">
        <v>1</v>
      </c>
      <c r="B4" s="2" t="s">
        <v>13</v>
      </c>
      <c r="C4" s="2">
        <v>0</v>
      </c>
      <c r="D4" s="3">
        <v>0</v>
      </c>
      <c r="E4" s="2">
        <f>ROUNDUP(I4*0.5,0)</f>
        <v>0</v>
      </c>
      <c r="F4" s="2">
        <f>ROUND(I4*0.25,0)</f>
        <v>0</v>
      </c>
      <c r="G4" s="2">
        <f>ROUND(I4*0.15,0)</f>
        <v>0</v>
      </c>
      <c r="H4" s="2">
        <f>I4-E4-F4-G4</f>
        <v>0</v>
      </c>
      <c r="I4" s="2">
        <f>ROUND(C4*D4/100,0)</f>
        <v>0</v>
      </c>
    </row>
    <row r="5" spans="1:9">
      <c r="A5" s="2">
        <v>2</v>
      </c>
      <c r="B5" s="2" t="s">
        <v>14</v>
      </c>
      <c r="C5" s="2">
        <v>0</v>
      </c>
      <c r="D5" s="3">
        <v>0</v>
      </c>
      <c r="E5" s="2">
        <f t="shared" ref="E5:E8" si="0">ROUNDUP(I5*0.5,0)</f>
        <v>0</v>
      </c>
      <c r="F5" s="2">
        <f t="shared" ref="F5:F8" si="1">ROUND(I5*0.25,0)</f>
        <v>0</v>
      </c>
      <c r="G5" s="2">
        <f t="shared" ref="G5:G8" si="2">ROUND(I5*0.15,0)</f>
        <v>0</v>
      </c>
      <c r="H5" s="2">
        <f t="shared" ref="H5:H8" si="3">I5-E5-F5-G5</f>
        <v>0</v>
      </c>
      <c r="I5" s="2">
        <f t="shared" ref="I5:I8" si="4">ROUND(C5*D5/100,0)</f>
        <v>0</v>
      </c>
    </row>
    <row r="6" spans="1:9">
      <c r="A6" s="2">
        <v>3</v>
      </c>
      <c r="B6" s="2" t="s">
        <v>15</v>
      </c>
      <c r="C6" s="2">
        <v>0</v>
      </c>
      <c r="D6" s="3">
        <v>0</v>
      </c>
      <c r="E6" s="2">
        <f t="shared" si="0"/>
        <v>0</v>
      </c>
      <c r="F6" s="2">
        <f t="shared" si="1"/>
        <v>0</v>
      </c>
      <c r="G6" s="2">
        <f t="shared" si="2"/>
        <v>0</v>
      </c>
      <c r="H6" s="2">
        <f t="shared" si="3"/>
        <v>0</v>
      </c>
      <c r="I6" s="2">
        <f t="shared" si="4"/>
        <v>0</v>
      </c>
    </row>
    <row r="7" spans="1:9">
      <c r="A7" s="2">
        <v>4</v>
      </c>
      <c r="B7" s="2" t="s">
        <v>16</v>
      </c>
      <c r="C7" s="2">
        <v>0</v>
      </c>
      <c r="D7" s="3">
        <v>0</v>
      </c>
      <c r="E7" s="2">
        <f t="shared" si="0"/>
        <v>0</v>
      </c>
      <c r="F7" s="2">
        <f t="shared" si="1"/>
        <v>0</v>
      </c>
      <c r="G7" s="2">
        <f t="shared" si="2"/>
        <v>0</v>
      </c>
      <c r="H7" s="2">
        <f t="shared" si="3"/>
        <v>0</v>
      </c>
      <c r="I7" s="2">
        <f t="shared" si="4"/>
        <v>0</v>
      </c>
    </row>
    <row r="8" spans="1:9">
      <c r="A8" s="2">
        <v>5</v>
      </c>
      <c r="B8" s="2" t="s">
        <v>1</v>
      </c>
      <c r="C8" s="2">
        <v>0</v>
      </c>
      <c r="D8" s="3">
        <v>0</v>
      </c>
      <c r="E8" s="2">
        <f t="shared" si="0"/>
        <v>0</v>
      </c>
      <c r="F8" s="2">
        <f t="shared" si="1"/>
        <v>0</v>
      </c>
      <c r="G8" s="2">
        <f t="shared" si="2"/>
        <v>0</v>
      </c>
      <c r="H8" s="2">
        <f t="shared" si="3"/>
        <v>0</v>
      </c>
      <c r="I8" s="2">
        <f t="shared" si="4"/>
        <v>0</v>
      </c>
    </row>
    <row r="9" spans="1:9">
      <c r="A9" s="2">
        <v>6</v>
      </c>
      <c r="B9" s="2" t="s">
        <v>0</v>
      </c>
      <c r="C9" s="2">
        <v>0</v>
      </c>
      <c r="D9" s="3">
        <v>0</v>
      </c>
      <c r="E9" s="2">
        <f t="shared" ref="E9:E11" si="5">ROUNDUP(I9*0.5,0)</f>
        <v>0</v>
      </c>
      <c r="F9" s="2">
        <f t="shared" ref="F9:F11" si="6">ROUND(I9*0.25,0)</f>
        <v>0</v>
      </c>
      <c r="G9" s="2">
        <f t="shared" ref="G9:G11" si="7">ROUND(I9*0.15,0)</f>
        <v>0</v>
      </c>
      <c r="H9" s="2">
        <f t="shared" ref="H9:H11" si="8">I9-E9-F9-G9</f>
        <v>0</v>
      </c>
      <c r="I9" s="2">
        <f t="shared" ref="I9:I11" si="9">ROUND(C9*D9/100,0)</f>
        <v>0</v>
      </c>
    </row>
    <row r="10" spans="1:9">
      <c r="A10" s="2">
        <v>7</v>
      </c>
      <c r="B10" s="2" t="s">
        <v>17</v>
      </c>
      <c r="C10" s="2">
        <v>0</v>
      </c>
      <c r="D10" s="3">
        <v>0</v>
      </c>
      <c r="E10" s="2">
        <f t="shared" si="5"/>
        <v>0</v>
      </c>
      <c r="F10" s="2">
        <f t="shared" si="6"/>
        <v>0</v>
      </c>
      <c r="G10" s="2">
        <f t="shared" si="7"/>
        <v>0</v>
      </c>
      <c r="H10" s="2">
        <f t="shared" si="8"/>
        <v>0</v>
      </c>
      <c r="I10" s="2">
        <f t="shared" si="9"/>
        <v>0</v>
      </c>
    </row>
    <row r="11" spans="1:9">
      <c r="A11" s="2">
        <v>8</v>
      </c>
      <c r="B11" s="2" t="s">
        <v>18</v>
      </c>
      <c r="C11" s="2">
        <v>0</v>
      </c>
      <c r="D11" s="3">
        <v>0</v>
      </c>
      <c r="E11" s="2">
        <f t="shared" si="5"/>
        <v>0</v>
      </c>
      <c r="F11" s="2">
        <f t="shared" si="6"/>
        <v>0</v>
      </c>
      <c r="G11" s="2">
        <f t="shared" si="7"/>
        <v>0</v>
      </c>
      <c r="H11" s="2">
        <f t="shared" si="8"/>
        <v>0</v>
      </c>
      <c r="I11" s="2">
        <f t="shared" si="9"/>
        <v>0</v>
      </c>
    </row>
    <row r="12" spans="1:9">
      <c r="A12" s="2">
        <v>9</v>
      </c>
      <c r="B12" s="2" t="s">
        <v>19</v>
      </c>
      <c r="C12" s="2">
        <v>0</v>
      </c>
      <c r="D12" s="3">
        <v>0</v>
      </c>
      <c r="E12" s="2">
        <f t="shared" ref="E12:E14" si="10">ROUNDUP(I12*0.5,0)</f>
        <v>0</v>
      </c>
      <c r="F12" s="2">
        <f t="shared" ref="F12:F14" si="11">ROUND(I12*0.25,0)</f>
        <v>0</v>
      </c>
      <c r="G12" s="2">
        <f t="shared" ref="G12:G14" si="12">ROUND(I12*0.15,0)</f>
        <v>0</v>
      </c>
      <c r="H12" s="2">
        <f t="shared" ref="H12:H14" si="13">I12-E12-F12-G12</f>
        <v>0</v>
      </c>
      <c r="I12" s="2">
        <f t="shared" ref="I12:I14" si="14">ROUND(C12*D12/100,0)</f>
        <v>0</v>
      </c>
    </row>
    <row r="13" spans="1:9">
      <c r="A13" s="2">
        <v>10</v>
      </c>
      <c r="B13" s="2" t="s">
        <v>2</v>
      </c>
      <c r="C13" s="2">
        <v>0</v>
      </c>
      <c r="D13" s="3">
        <v>0</v>
      </c>
      <c r="E13" s="2">
        <f t="shared" si="10"/>
        <v>0</v>
      </c>
      <c r="F13" s="2">
        <f t="shared" si="11"/>
        <v>0</v>
      </c>
      <c r="G13" s="2">
        <f t="shared" si="12"/>
        <v>0</v>
      </c>
      <c r="H13" s="2">
        <f t="shared" si="13"/>
        <v>0</v>
      </c>
      <c r="I13" s="2">
        <f t="shared" si="14"/>
        <v>0</v>
      </c>
    </row>
    <row r="14" spans="1:9">
      <c r="A14" s="2">
        <v>11</v>
      </c>
      <c r="B14" s="2" t="s">
        <v>20</v>
      </c>
      <c r="C14" s="2">
        <v>0</v>
      </c>
      <c r="D14" s="3">
        <v>0</v>
      </c>
      <c r="E14" s="2">
        <f t="shared" si="10"/>
        <v>0</v>
      </c>
      <c r="F14" s="2">
        <f t="shared" si="11"/>
        <v>0</v>
      </c>
      <c r="G14" s="2">
        <f t="shared" si="12"/>
        <v>0</v>
      </c>
      <c r="H14" s="2">
        <f t="shared" si="13"/>
        <v>0</v>
      </c>
      <c r="I14" s="2">
        <f t="shared" si="14"/>
        <v>0</v>
      </c>
    </row>
  </sheetData>
  <mergeCells count="5">
    <mergeCell ref="A1:A3"/>
    <mergeCell ref="B1:B3"/>
    <mergeCell ref="C1:C3"/>
    <mergeCell ref="D1:D3"/>
    <mergeCell ref="E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A3E4-2F16-400C-90BF-200CB05E84C8}">
  <dimension ref="A1:J12"/>
  <sheetViews>
    <sheetView zoomScale="131" workbookViewId="0">
      <selection activeCell="B6" sqref="B6:B11"/>
    </sheetView>
  </sheetViews>
  <sheetFormatPr defaultRowHeight="14.4"/>
  <sheetData>
    <row r="1" spans="1:10">
      <c r="A1" s="13" t="s">
        <v>4</v>
      </c>
      <c r="B1" s="13" t="s">
        <v>21</v>
      </c>
      <c r="C1" s="13" t="s">
        <v>22</v>
      </c>
      <c r="D1" s="15" t="s">
        <v>23</v>
      </c>
      <c r="E1" s="18"/>
      <c r="F1" s="18"/>
      <c r="G1" s="18"/>
      <c r="H1" s="18"/>
      <c r="I1" s="18"/>
      <c r="J1" s="16"/>
    </row>
    <row r="2" spans="1:10">
      <c r="A2" s="17"/>
      <c r="B2" s="17"/>
      <c r="C2" s="17"/>
      <c r="D2" s="15" t="s">
        <v>24</v>
      </c>
      <c r="E2" s="18"/>
      <c r="F2" s="18"/>
      <c r="G2" s="16"/>
      <c r="H2" s="15" t="s">
        <v>25</v>
      </c>
      <c r="I2" s="16"/>
      <c r="J2" s="13" t="s">
        <v>3</v>
      </c>
    </row>
    <row r="3" spans="1:10">
      <c r="A3" s="17"/>
      <c r="B3" s="17"/>
      <c r="C3" s="17"/>
      <c r="D3" s="13" t="s">
        <v>26</v>
      </c>
      <c r="E3" s="13" t="s">
        <v>27</v>
      </c>
      <c r="F3" s="15" t="s">
        <v>28</v>
      </c>
      <c r="G3" s="16"/>
      <c r="H3" s="13" t="s">
        <v>26</v>
      </c>
      <c r="I3" s="13" t="s">
        <v>27</v>
      </c>
      <c r="J3" s="14"/>
    </row>
    <row r="4" spans="1:10">
      <c r="A4" s="14"/>
      <c r="B4" s="14"/>
      <c r="C4" s="14"/>
      <c r="D4" s="14"/>
      <c r="E4" s="14"/>
      <c r="F4" s="4" t="s">
        <v>26</v>
      </c>
      <c r="G4" s="4" t="s">
        <v>27</v>
      </c>
      <c r="H4" s="14"/>
      <c r="I4" s="14"/>
      <c r="J4" s="4" t="s">
        <v>29</v>
      </c>
    </row>
    <row r="5" spans="1:10">
      <c r="A5" s="5">
        <v>1</v>
      </c>
      <c r="B5" s="5" t="s">
        <v>30</v>
      </c>
      <c r="C5" s="6">
        <v>0</v>
      </c>
      <c r="D5" s="7">
        <v>0</v>
      </c>
      <c r="E5" s="6">
        <f>ROUND(C5*D5/100,0)</f>
        <v>0</v>
      </c>
      <c r="F5" s="7">
        <v>0</v>
      </c>
      <c r="G5" s="6">
        <f>ROUND(E5*F5/100,0)</f>
        <v>0</v>
      </c>
      <c r="H5" s="7">
        <v>0</v>
      </c>
      <c r="I5" s="6">
        <f>ROUND(H5*C5/100,0)</f>
        <v>0</v>
      </c>
      <c r="J5" s="6">
        <f>E5+I5</f>
        <v>0</v>
      </c>
    </row>
    <row r="6" spans="1:10" ht="24">
      <c r="A6" s="5" t="s">
        <v>31</v>
      </c>
      <c r="B6" s="5" t="s">
        <v>32</v>
      </c>
      <c r="C6" s="6">
        <v>0</v>
      </c>
      <c r="D6" s="7">
        <v>0</v>
      </c>
      <c r="E6" s="6">
        <f t="shared" ref="E6:E11" si="0">ROUND(C6*D6/100,0)</f>
        <v>0</v>
      </c>
      <c r="F6" s="7">
        <v>1</v>
      </c>
      <c r="G6" s="6">
        <f t="shared" ref="G6:G11" si="1">ROUND(E6*F6/100,0)</f>
        <v>0</v>
      </c>
      <c r="H6" s="7">
        <v>1</v>
      </c>
      <c r="I6" s="6">
        <f t="shared" ref="I6:I11" si="2">ROUND(H6*C6/100,0)</f>
        <v>0</v>
      </c>
      <c r="J6" s="6">
        <f t="shared" ref="J6:J11" si="3">E6+I6</f>
        <v>0</v>
      </c>
    </row>
    <row r="7" spans="1:10" ht="24">
      <c r="A7" s="5" t="s">
        <v>31</v>
      </c>
      <c r="B7" s="5" t="s">
        <v>33</v>
      </c>
      <c r="C7" s="6">
        <v>0</v>
      </c>
      <c r="D7" s="7">
        <v>0</v>
      </c>
      <c r="E7" s="6">
        <f t="shared" si="0"/>
        <v>0</v>
      </c>
      <c r="F7" s="7">
        <v>2</v>
      </c>
      <c r="G7" s="6">
        <f t="shared" si="1"/>
        <v>0</v>
      </c>
      <c r="H7" s="7">
        <v>2</v>
      </c>
      <c r="I7" s="6">
        <f t="shared" si="2"/>
        <v>0</v>
      </c>
      <c r="J7" s="6">
        <f t="shared" si="3"/>
        <v>0</v>
      </c>
    </row>
    <row r="8" spans="1:10" ht="24">
      <c r="A8" s="5" t="s">
        <v>31</v>
      </c>
      <c r="B8" s="5" t="s">
        <v>35</v>
      </c>
      <c r="C8" s="6">
        <v>0</v>
      </c>
      <c r="D8" s="7">
        <v>0</v>
      </c>
      <c r="E8" s="6">
        <f t="shared" si="0"/>
        <v>0</v>
      </c>
      <c r="F8" s="7">
        <v>3</v>
      </c>
      <c r="G8" s="6">
        <f t="shared" si="1"/>
        <v>0</v>
      </c>
      <c r="H8" s="7">
        <v>3</v>
      </c>
      <c r="I8" s="6">
        <f t="shared" si="2"/>
        <v>0</v>
      </c>
      <c r="J8" s="6">
        <f t="shared" si="3"/>
        <v>0</v>
      </c>
    </row>
    <row r="9" spans="1:10" ht="24">
      <c r="A9" s="5" t="s">
        <v>31</v>
      </c>
      <c r="B9" s="5" t="s">
        <v>36</v>
      </c>
      <c r="C9" s="6">
        <v>0</v>
      </c>
      <c r="D9" s="7">
        <v>0</v>
      </c>
      <c r="E9" s="6">
        <f t="shared" si="0"/>
        <v>0</v>
      </c>
      <c r="F9" s="7">
        <v>4</v>
      </c>
      <c r="G9" s="6">
        <f t="shared" si="1"/>
        <v>0</v>
      </c>
      <c r="H9" s="7">
        <v>4</v>
      </c>
      <c r="I9" s="6">
        <f t="shared" si="2"/>
        <v>0</v>
      </c>
      <c r="J9" s="6">
        <f t="shared" si="3"/>
        <v>0</v>
      </c>
    </row>
    <row r="10" spans="1:10" ht="24">
      <c r="A10" s="5" t="s">
        <v>31</v>
      </c>
      <c r="B10" s="5" t="s">
        <v>37</v>
      </c>
      <c r="C10" s="6">
        <v>0</v>
      </c>
      <c r="D10" s="7">
        <v>0</v>
      </c>
      <c r="E10" s="6">
        <f t="shared" si="0"/>
        <v>0</v>
      </c>
      <c r="F10" s="7">
        <v>5</v>
      </c>
      <c r="G10" s="6">
        <f t="shared" si="1"/>
        <v>0</v>
      </c>
      <c r="H10" s="7">
        <v>5</v>
      </c>
      <c r="I10" s="6">
        <f t="shared" si="2"/>
        <v>0</v>
      </c>
      <c r="J10" s="6">
        <f t="shared" si="3"/>
        <v>0</v>
      </c>
    </row>
    <row r="11" spans="1:10">
      <c r="A11" s="5"/>
      <c r="B11" s="5" t="s">
        <v>38</v>
      </c>
      <c r="C11" s="6">
        <v>0</v>
      </c>
      <c r="D11" s="7">
        <v>0</v>
      </c>
      <c r="E11" s="6">
        <f t="shared" si="0"/>
        <v>0</v>
      </c>
      <c r="F11" s="7">
        <v>6</v>
      </c>
      <c r="G11" s="6">
        <f t="shared" si="1"/>
        <v>0</v>
      </c>
      <c r="H11" s="7">
        <v>6</v>
      </c>
      <c r="I11" s="6">
        <f t="shared" si="2"/>
        <v>0</v>
      </c>
      <c r="J11" s="6">
        <f t="shared" si="3"/>
        <v>0</v>
      </c>
    </row>
    <row r="12" spans="1:10" ht="24">
      <c r="A12" s="5">
        <v>2</v>
      </c>
      <c r="B12" s="5" t="s">
        <v>34</v>
      </c>
      <c r="C12" s="6">
        <f>C5</f>
        <v>0</v>
      </c>
      <c r="D12" s="7">
        <v>8</v>
      </c>
      <c r="E12" s="6">
        <f>ROUND(C12*D12/100,0)</f>
        <v>0</v>
      </c>
      <c r="F12" s="8"/>
      <c r="G12" s="5" t="s">
        <v>39</v>
      </c>
      <c r="H12" s="8"/>
      <c r="I12" s="5"/>
      <c r="J12" s="5"/>
    </row>
  </sheetData>
  <mergeCells count="12">
    <mergeCell ref="H3:H4"/>
    <mergeCell ref="I3:I4"/>
    <mergeCell ref="A1:A4"/>
    <mergeCell ref="B1:B4"/>
    <mergeCell ref="C1:C4"/>
    <mergeCell ref="D1:J1"/>
    <mergeCell ref="D2:G2"/>
    <mergeCell ref="H2:I2"/>
    <mergeCell ref="J2:J3"/>
    <mergeCell ref="D3:D4"/>
    <mergeCell ref="E3:E4"/>
    <mergeCell ref="F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69830-15C2-40EF-A85C-0B734C645A25}">
  <dimension ref="A1:M12"/>
  <sheetViews>
    <sheetView tabSelected="1" zoomScale="109" workbookViewId="0">
      <selection activeCell="L16" sqref="L16"/>
    </sheetView>
  </sheetViews>
  <sheetFormatPr defaultRowHeight="14.4"/>
  <sheetData>
    <row r="1" spans="1:13">
      <c r="A1" s="13" t="s">
        <v>4</v>
      </c>
      <c r="B1" s="13" t="s">
        <v>21</v>
      </c>
      <c r="C1" s="13" t="s">
        <v>22</v>
      </c>
      <c r="D1" s="15" t="s">
        <v>23</v>
      </c>
      <c r="E1" s="18"/>
      <c r="F1" s="18"/>
      <c r="G1" s="18"/>
      <c r="H1" s="18"/>
      <c r="I1" s="18"/>
      <c r="J1" s="16"/>
      <c r="K1" s="19" t="s">
        <v>40</v>
      </c>
      <c r="L1" s="20"/>
      <c r="M1" s="21"/>
    </row>
    <row r="2" spans="1:13">
      <c r="A2" s="17"/>
      <c r="B2" s="17"/>
      <c r="C2" s="17"/>
      <c r="D2" s="15" t="s">
        <v>24</v>
      </c>
      <c r="E2" s="18"/>
      <c r="F2" s="18"/>
      <c r="G2" s="16"/>
      <c r="H2" s="15" t="s">
        <v>25</v>
      </c>
      <c r="I2" s="16"/>
      <c r="J2" s="13" t="s">
        <v>3</v>
      </c>
      <c r="K2" s="10" t="s">
        <v>41</v>
      </c>
      <c r="L2" s="10" t="s">
        <v>42</v>
      </c>
      <c r="M2" s="10" t="s">
        <v>43</v>
      </c>
    </row>
    <row r="3" spans="1:13">
      <c r="A3" s="17"/>
      <c r="B3" s="17"/>
      <c r="C3" s="17"/>
      <c r="D3" s="13" t="s">
        <v>26</v>
      </c>
      <c r="E3" s="13" t="s">
        <v>27</v>
      </c>
      <c r="F3" s="15" t="s">
        <v>28</v>
      </c>
      <c r="G3" s="16"/>
      <c r="H3" s="13" t="s">
        <v>26</v>
      </c>
      <c r="I3" s="13" t="s">
        <v>27</v>
      </c>
      <c r="J3" s="14"/>
      <c r="K3" s="11"/>
      <c r="L3" s="11"/>
      <c r="M3" s="11"/>
    </row>
    <row r="4" spans="1:13">
      <c r="A4" s="14"/>
      <c r="B4" s="14"/>
      <c r="C4" s="14"/>
      <c r="D4" s="14"/>
      <c r="E4" s="14"/>
      <c r="F4" s="4" t="s">
        <v>26</v>
      </c>
      <c r="G4" s="4" t="s">
        <v>27</v>
      </c>
      <c r="H4" s="14"/>
      <c r="I4" s="14"/>
      <c r="J4" s="4" t="s">
        <v>29</v>
      </c>
      <c r="K4" s="12"/>
      <c r="L4" s="12"/>
      <c r="M4" s="12"/>
    </row>
    <row r="5" spans="1:13">
      <c r="A5" s="5">
        <v>1</v>
      </c>
      <c r="B5" s="5" t="s">
        <v>30</v>
      </c>
      <c r="C5" s="6">
        <v>0</v>
      </c>
      <c r="D5" s="7">
        <v>0</v>
      </c>
      <c r="E5" s="6">
        <f>ROUND(C5*D5/100,0)</f>
        <v>0</v>
      </c>
      <c r="F5" s="7">
        <v>0</v>
      </c>
      <c r="G5" s="6">
        <f>ROUND(E5*F5/100,0)</f>
        <v>0</v>
      </c>
      <c r="H5" s="7">
        <v>0</v>
      </c>
      <c r="I5" s="6">
        <f>ROUND(H5*C5/100,0)</f>
        <v>0</v>
      </c>
      <c r="J5" s="6">
        <f>E5+I5</f>
        <v>0</v>
      </c>
      <c r="K5" s="9">
        <f>ROUNDUP(J5/2,0)</f>
        <v>0</v>
      </c>
      <c r="L5" s="9">
        <f>J5-K5</f>
        <v>0</v>
      </c>
      <c r="M5" s="9">
        <f>J5</f>
        <v>0</v>
      </c>
    </row>
    <row r="6" spans="1:13" ht="24">
      <c r="A6" s="5" t="s">
        <v>31</v>
      </c>
      <c r="B6" s="5" t="s">
        <v>32</v>
      </c>
      <c r="C6" s="6">
        <v>0</v>
      </c>
      <c r="D6" s="8"/>
      <c r="E6" s="6">
        <f t="shared" ref="E6:E11" si="0">ROUND(C6*D6/100,0)</f>
        <v>0</v>
      </c>
      <c r="F6" s="8"/>
      <c r="G6" s="6">
        <f t="shared" ref="G6:G11" si="1">ROUND(E6*F6/100,0)</f>
        <v>0</v>
      </c>
      <c r="H6" s="8"/>
      <c r="I6" s="6">
        <f t="shared" ref="I6:I11" si="2">ROUND(H6*C6/100,0)</f>
        <v>0</v>
      </c>
      <c r="J6" s="6">
        <f t="shared" ref="J6:J11" si="3">E6+I6</f>
        <v>0</v>
      </c>
      <c r="K6" s="9">
        <f t="shared" ref="K6:K11" si="4">ROUNDUP(J6/2,0)</f>
        <v>0</v>
      </c>
      <c r="L6" s="9">
        <f t="shared" ref="L6:L11" si="5">J6-K6</f>
        <v>0</v>
      </c>
      <c r="M6" s="9">
        <f t="shared" ref="M6:M11" si="6">J6</f>
        <v>0</v>
      </c>
    </row>
    <row r="7" spans="1:13" ht="24">
      <c r="A7" s="5" t="s">
        <v>31</v>
      </c>
      <c r="B7" s="5" t="s">
        <v>33</v>
      </c>
      <c r="C7" s="6">
        <v>0</v>
      </c>
      <c r="D7" s="8"/>
      <c r="E7" s="6">
        <f t="shared" si="0"/>
        <v>0</v>
      </c>
      <c r="F7" s="8"/>
      <c r="G7" s="6">
        <f t="shared" si="1"/>
        <v>0</v>
      </c>
      <c r="H7" s="8"/>
      <c r="I7" s="6">
        <f t="shared" si="2"/>
        <v>0</v>
      </c>
      <c r="J7" s="6">
        <f t="shared" si="3"/>
        <v>0</v>
      </c>
      <c r="K7" s="9">
        <f t="shared" si="4"/>
        <v>0</v>
      </c>
      <c r="L7" s="9">
        <f t="shared" si="5"/>
        <v>0</v>
      </c>
      <c r="M7" s="9">
        <f t="shared" si="6"/>
        <v>0</v>
      </c>
    </row>
    <row r="8" spans="1:13" ht="24">
      <c r="A8" s="5" t="s">
        <v>31</v>
      </c>
      <c r="B8" s="5" t="s">
        <v>35</v>
      </c>
      <c r="C8" s="6">
        <v>0</v>
      </c>
      <c r="D8" s="8"/>
      <c r="E8" s="6">
        <f t="shared" si="0"/>
        <v>0</v>
      </c>
      <c r="F8" s="8"/>
      <c r="G8" s="6">
        <f t="shared" si="1"/>
        <v>0</v>
      </c>
      <c r="H8" s="8"/>
      <c r="I8" s="6">
        <f t="shared" si="2"/>
        <v>0</v>
      </c>
      <c r="J8" s="6">
        <f t="shared" si="3"/>
        <v>0</v>
      </c>
      <c r="K8" s="9">
        <f t="shared" si="4"/>
        <v>0</v>
      </c>
      <c r="L8" s="9">
        <f t="shared" si="5"/>
        <v>0</v>
      </c>
      <c r="M8" s="9">
        <f t="shared" si="6"/>
        <v>0</v>
      </c>
    </row>
    <row r="9" spans="1:13" ht="24">
      <c r="A9" s="5" t="s">
        <v>31</v>
      </c>
      <c r="B9" s="5" t="s">
        <v>36</v>
      </c>
      <c r="C9" s="6">
        <v>0</v>
      </c>
      <c r="D9" s="8"/>
      <c r="E9" s="6">
        <f t="shared" si="0"/>
        <v>0</v>
      </c>
      <c r="F9" s="8"/>
      <c r="G9" s="6">
        <f t="shared" si="1"/>
        <v>0</v>
      </c>
      <c r="H9" s="8"/>
      <c r="I9" s="6">
        <f t="shared" si="2"/>
        <v>0</v>
      </c>
      <c r="J9" s="6">
        <f t="shared" si="3"/>
        <v>0</v>
      </c>
      <c r="K9" s="9">
        <f t="shared" si="4"/>
        <v>0</v>
      </c>
      <c r="L9" s="9">
        <f t="shared" si="5"/>
        <v>0</v>
      </c>
      <c r="M9" s="9">
        <f t="shared" si="6"/>
        <v>0</v>
      </c>
    </row>
    <row r="10" spans="1:13" ht="24">
      <c r="A10" s="5" t="s">
        <v>31</v>
      </c>
      <c r="B10" s="5" t="s">
        <v>37</v>
      </c>
      <c r="C10" s="6">
        <v>0</v>
      </c>
      <c r="D10" s="8"/>
      <c r="E10" s="6">
        <f t="shared" si="0"/>
        <v>0</v>
      </c>
      <c r="F10" s="8"/>
      <c r="G10" s="6">
        <f t="shared" si="1"/>
        <v>0</v>
      </c>
      <c r="H10" s="8"/>
      <c r="I10" s="6">
        <f t="shared" si="2"/>
        <v>0</v>
      </c>
      <c r="J10" s="6">
        <f t="shared" si="3"/>
        <v>0</v>
      </c>
      <c r="K10" s="9">
        <f t="shared" si="4"/>
        <v>0</v>
      </c>
      <c r="L10" s="9">
        <f t="shared" si="5"/>
        <v>0</v>
      </c>
      <c r="M10" s="9">
        <f t="shared" si="6"/>
        <v>0</v>
      </c>
    </row>
    <row r="11" spans="1:13">
      <c r="A11" s="5" t="s">
        <v>31</v>
      </c>
      <c r="B11" s="5" t="s">
        <v>38</v>
      </c>
      <c r="C11" s="6">
        <v>0</v>
      </c>
      <c r="D11" s="8"/>
      <c r="E11" s="6">
        <f t="shared" si="0"/>
        <v>0</v>
      </c>
      <c r="F11" s="8"/>
      <c r="G11" s="6">
        <f t="shared" si="1"/>
        <v>0</v>
      </c>
      <c r="H11" s="8"/>
      <c r="I11" s="6">
        <f t="shared" si="2"/>
        <v>0</v>
      </c>
      <c r="J11" s="6">
        <f t="shared" si="3"/>
        <v>0</v>
      </c>
      <c r="K11" s="9">
        <f t="shared" si="4"/>
        <v>0</v>
      </c>
      <c r="L11" s="9">
        <f t="shared" si="5"/>
        <v>0</v>
      </c>
      <c r="M11" s="9">
        <f t="shared" si="6"/>
        <v>0</v>
      </c>
    </row>
    <row r="12" spans="1:13" ht="24">
      <c r="A12" s="5">
        <v>2</v>
      </c>
      <c r="B12" s="5" t="s">
        <v>34</v>
      </c>
      <c r="C12" s="6">
        <f>C5</f>
        <v>0</v>
      </c>
      <c r="D12" s="7">
        <v>0</v>
      </c>
      <c r="E12" s="6">
        <f>ROUND(C12*D12/100,0)</f>
        <v>0</v>
      </c>
      <c r="F12" s="8"/>
      <c r="G12" s="5"/>
      <c r="H12" s="8"/>
      <c r="I12" s="5"/>
      <c r="J12" s="5"/>
      <c r="K12" s="9"/>
      <c r="L12" s="9"/>
      <c r="M12" s="9"/>
    </row>
  </sheetData>
  <mergeCells count="16">
    <mergeCell ref="A1:A4"/>
    <mergeCell ref="B1:B4"/>
    <mergeCell ref="C1:C4"/>
    <mergeCell ref="D1:J1"/>
    <mergeCell ref="K1:M1"/>
    <mergeCell ref="D2:G2"/>
    <mergeCell ref="H2:I2"/>
    <mergeCell ref="J2:J3"/>
    <mergeCell ref="K2:K4"/>
    <mergeCell ref="L2:L4"/>
    <mergeCell ref="M2:M4"/>
    <mergeCell ref="D3:D4"/>
    <mergeCell ref="E3:E4"/>
    <mergeCell ref="F3:G3"/>
    <mergeCell ref="H3:H4"/>
    <mergeCell ref="I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SuaChua</vt:lpstr>
      <vt:lpstr>BaoDamQuanY</vt:lpstr>
      <vt:lpstr>KeHoachBaoDamQuanY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Thế Nguyên</dc:creator>
  <cp:lastModifiedBy>Nguyen Thi Thanh Huyen</cp:lastModifiedBy>
  <dcterms:created xsi:type="dcterms:W3CDTF">2025-12-02T15:26:00Z</dcterms:created>
  <dcterms:modified xsi:type="dcterms:W3CDTF">2026-03-03T01:14:56Z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EA5910DF0ACF4499B29763509B539F6C_12</vt:lpwstr>
  </property>
  <property fmtid="{D5CDD505-2E9C-101B-9397-08002B2CF9AE}" pid="3" name="KSOProductBuildVer">
    <vt:lpwstr>1033-12.2.0.23196</vt:lpwstr>
  </property>
</Properties>
</file>