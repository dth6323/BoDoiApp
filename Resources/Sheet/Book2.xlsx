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code\BODOIAPP\Resources\Sheet\"/>
    </mc:Choice>
  </mc:AlternateContent>
  <xr:revisionPtr revIDLastSave="0" documentId="13_ncr:1_{3C2AE13E-7E8F-4102-9BD3-17DC81180153}" xr6:coauthVersionLast="47" xr6:coauthVersionMax="47" xr10:uidLastSave="{00000000-0000-0000-0000-000000000000}"/>
  <bookViews>
    <workbookView xWindow="3015" yWindow="3795" windowWidth="21600" windowHeight="12735" activeTab="1" xr2:uid="{00000000-000D-0000-FFFF-FFFF00000000}"/>
  </bookViews>
  <sheets>
    <sheet name="SuaChua" sheetId="7" r:id="rId1"/>
    <sheet name="KeHoach9.2" sheetId="12" r:id="rId2"/>
    <sheet name="KeHoachSuaChua" sheetId="10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2" l="1"/>
  <c r="L13" i="12"/>
  <c r="J13" i="12"/>
  <c r="E13" i="12"/>
  <c r="I12" i="12"/>
  <c r="H12" i="12"/>
  <c r="G12" i="12"/>
  <c r="J12" i="12" s="1"/>
  <c r="D12" i="12"/>
  <c r="D10" i="12" s="1"/>
  <c r="C12" i="12"/>
  <c r="E12" i="12" s="1"/>
  <c r="L12" i="12" s="1"/>
  <c r="J11" i="12"/>
  <c r="C11" i="12"/>
  <c r="C10" i="12" s="1"/>
  <c r="I10" i="12"/>
  <c r="H10" i="12"/>
  <c r="G10" i="12"/>
  <c r="F10" i="12"/>
  <c r="F5" i="12" s="1"/>
  <c r="J9" i="12"/>
  <c r="E9" i="12"/>
  <c r="L9" i="12" s="1"/>
  <c r="I8" i="12"/>
  <c r="I6" i="12" s="1"/>
  <c r="I5" i="12" s="1"/>
  <c r="H8" i="12"/>
  <c r="H6" i="12" s="1"/>
  <c r="H5" i="12" s="1"/>
  <c r="G8" i="12"/>
  <c r="G6" i="12" s="1"/>
  <c r="D8" i="12"/>
  <c r="D6" i="12" s="1"/>
  <c r="D5" i="12" s="1"/>
  <c r="C8" i="12"/>
  <c r="J7" i="12"/>
  <c r="C7" i="12"/>
  <c r="C6" i="12" s="1"/>
  <c r="F6" i="12"/>
  <c r="I14" i="7"/>
  <c r="E14" i="7" s="1"/>
  <c r="I12" i="7"/>
  <c r="E12" i="7" s="1"/>
  <c r="I13" i="7"/>
  <c r="E13" i="7" s="1"/>
  <c r="I9" i="7"/>
  <c r="E9" i="7" s="1"/>
  <c r="I10" i="7"/>
  <c r="E10" i="7" s="1"/>
  <c r="I11" i="7"/>
  <c r="G11" i="7" s="1"/>
  <c r="I8" i="7"/>
  <c r="G8" i="7" s="1"/>
  <c r="I7" i="7"/>
  <c r="F7" i="7" s="1"/>
  <c r="I6" i="7"/>
  <c r="E6" i="7" s="1"/>
  <c r="F6" i="7"/>
  <c r="I5" i="7"/>
  <c r="E5" i="7" s="1"/>
  <c r="I4" i="7"/>
  <c r="E4" i="7" s="1"/>
  <c r="G5" i="12" l="1"/>
  <c r="J6" i="12"/>
  <c r="J5" i="12" s="1"/>
  <c r="C5" i="12"/>
  <c r="E7" i="12"/>
  <c r="J10" i="12"/>
  <c r="E11" i="12"/>
  <c r="J8" i="12"/>
  <c r="L8" i="12" s="1"/>
  <c r="H14" i="7"/>
  <c r="G14" i="7"/>
  <c r="F14" i="7"/>
  <c r="F12" i="7"/>
  <c r="G13" i="7"/>
  <c r="F13" i="7"/>
  <c r="H13" i="7" s="1"/>
  <c r="G12" i="7"/>
  <c r="H12" i="7" s="1"/>
  <c r="F11" i="7"/>
  <c r="E11" i="7"/>
  <c r="H11" i="7" s="1"/>
  <c r="G10" i="7"/>
  <c r="F10" i="7"/>
  <c r="H10" i="7" s="1"/>
  <c r="E7" i="7"/>
  <c r="G7" i="7"/>
  <c r="G6" i="7"/>
  <c r="H6" i="7"/>
  <c r="F5" i="7"/>
  <c r="G5" i="7"/>
  <c r="G4" i="7"/>
  <c r="F4" i="7"/>
  <c r="H4" i="7" s="1"/>
  <c r="G9" i="7"/>
  <c r="F9" i="7"/>
  <c r="H9" i="7" s="1"/>
  <c r="F8" i="7"/>
  <c r="E8" i="7"/>
  <c r="H8" i="7" s="1"/>
  <c r="E10" i="12" l="1"/>
  <c r="L10" i="12" s="1"/>
  <c r="L11" i="12"/>
  <c r="E6" i="12"/>
  <c r="L7" i="12"/>
  <c r="H5" i="7"/>
  <c r="H7" i="7"/>
  <c r="E5" i="12" l="1"/>
  <c r="L5" i="12" s="1"/>
  <c r="L6" i="12"/>
</calcChain>
</file>

<file path=xl/sharedStrings.xml><?xml version="1.0" encoding="utf-8"?>
<sst xmlns="http://schemas.openxmlformats.org/spreadsheetml/2006/main" count="94" uniqueCount="65">
  <si>
    <t>Lựu đạn</t>
  </si>
  <si>
    <t>B41, M79</t>
  </si>
  <si>
    <t>SPG9</t>
  </si>
  <si>
    <t>+</t>
  </si>
  <si>
    <t>TT</t>
  </si>
  <si>
    <t>Loại VKTBKT</t>
  </si>
  <si>
    <t>Số lượng TBKT tham gia CĐ</t>
  </si>
  <si>
    <t>Dự kiến tỷ lệ hư hỏng 1 ngày đêm (%)</t>
  </si>
  <si>
    <t>Tổng số TBKT hư hỏng</t>
  </si>
  <si>
    <t>Nhẹ</t>
  </si>
  <si>
    <t>Vừa</t>
  </si>
  <si>
    <t>Nặng</t>
  </si>
  <si>
    <t>Hủy</t>
  </si>
  <si>
    <t>Súng ngắn</t>
  </si>
  <si>
    <t>Tiểu liên</t>
  </si>
  <si>
    <t>Trung liên</t>
  </si>
  <si>
    <t>Đại liên</t>
  </si>
  <si>
    <t>Cối 60</t>
  </si>
  <si>
    <t>Cối 82</t>
  </si>
  <si>
    <t>Cối 100</t>
  </si>
  <si>
    <t>Pháo PK 12.7</t>
  </si>
  <si>
    <t>Nội dung</t>
  </si>
  <si>
    <t>Người</t>
  </si>
  <si>
    <t>Toàn trận</t>
  </si>
  <si>
    <t>Loại TBKT</t>
  </si>
  <si>
    <t>Dự kiến tỉ lệ hư hỏng 1 ngày đêm (%)</t>
  </si>
  <si>
    <t>Khả năng sửa chữa trong 1 ngày đêm</t>
  </si>
  <si>
    <t>Còn lại chưa sửa chữa được</t>
  </si>
  <si>
    <t xml:space="preserve">Nhẹ </t>
  </si>
  <si>
    <t xml:space="preserve">Nặng </t>
  </si>
  <si>
    <t>I</t>
  </si>
  <si>
    <t>GĐ CB CĐ</t>
  </si>
  <si>
    <t>II</t>
  </si>
  <si>
    <t>GĐ TH CĐ</t>
  </si>
  <si>
    <t>SMPK 12,7mm</t>
  </si>
  <si>
    <t>Cối 100mm</t>
  </si>
  <si>
    <t>Cối 82mm</t>
  </si>
  <si>
    <t>Cối 60mm</t>
  </si>
  <si>
    <t>Súng SPG-9</t>
  </si>
  <si>
    <t>Súng B41</t>
  </si>
  <si>
    <t>Súng đại liên</t>
  </si>
  <si>
    <t>Súng trung liên</t>
  </si>
  <si>
    <t>Súng tiểu liên</t>
  </si>
  <si>
    <t>QN</t>
  </si>
  <si>
    <t>QY</t>
  </si>
  <si>
    <t>DT</t>
  </si>
  <si>
    <t>VTKT</t>
  </si>
  <si>
    <t>Đạn</t>
  </si>
  <si>
    <t>Khối lượng vận chuyển</t>
  </si>
  <si>
    <t>Ghi chú</t>
  </si>
  <si>
    <t>Vũ khí trang bị kỹ thuật</t>
  </si>
  <si>
    <t>Vật chất hậu cần</t>
  </si>
  <si>
    <t>Vật chất khác</t>
  </si>
  <si>
    <t>Cộng</t>
  </si>
  <si>
    <t>VKTB</t>
  </si>
  <si>
    <t>XD</t>
  </si>
  <si>
    <t>Đơn vị tính</t>
  </si>
  <si>
    <t>tấn</t>
  </si>
  <si>
    <t xml:space="preserve">tấn </t>
  </si>
  <si>
    <t>người</t>
  </si>
  <si>
    <t>GĐCB</t>
  </si>
  <si>
    <t>Trên chuyển</t>
  </si>
  <si>
    <t>Cấp mình</t>
  </si>
  <si>
    <t>Dưới chuyển</t>
  </si>
  <si>
    <t>GĐCĐ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</si>
</sst>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#,##0.0"/>
  </numFmts>
  <fonts count="10">
    <font>
      <sz val="11"/>
      <color theme="1"/>
      <name val="Calibri"/>
      <charset val="134"/>
      <scheme val="minor"/>
    </font>
    <font>
      <b/>
      <i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i/>
      <sz val="10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3" borderId="5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0" borderId="20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justify" vertical="center" wrapText="1"/>
    </xf>
    <xf numFmtId="0" fontId="3" fillId="0" borderId="20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justify" vertical="center" wrapText="1"/>
    </xf>
    <xf numFmtId="0" fontId="5" fillId="5" borderId="20" xfId="0" applyFont="1" applyFill="1" applyBorder="1" applyAlignment="1">
      <alignment horizontal="center" vertical="center" wrapText="1"/>
    </xf>
    <xf numFmtId="0" fontId="6" fillId="5" borderId="20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7" fillId="0" borderId="5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7" fillId="0" borderId="5" xfId="0" applyFont="1" applyBorder="1"/>
    <xf numFmtId="0" fontId="4" fillId="0" borderId="5" xfId="0" applyFont="1" applyBorder="1" applyAlignment="1">
      <alignment vertical="center" wrapText="1"/>
    </xf>
    <xf numFmtId="165" fontId="4" fillId="0" borderId="5" xfId="0" applyNumberFormat="1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4" fontId="4" fillId="0" borderId="5" xfId="0" applyNumberFormat="1" applyFont="1" applyBorder="1" applyAlignment="1">
      <alignment vertical="center" wrapText="1"/>
    </xf>
    <xf numFmtId="164" fontId="4" fillId="0" borderId="5" xfId="0" applyNumberFormat="1" applyFont="1" applyBorder="1" applyAlignment="1">
      <alignment vertical="center" wrapText="1"/>
    </xf>
    <xf numFmtId="0" fontId="8" fillId="0" borderId="5" xfId="0" applyFont="1" applyBorder="1" applyAlignment="1">
      <alignment vertical="center"/>
    </xf>
    <xf numFmtId="165" fontId="8" fillId="0" borderId="5" xfId="0" applyNumberFormat="1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123456~1\AppData\Local\Temp\Zalo%20Temp\TempDownloads\M&#244;%20t&#7843;%20ph&#7847;n%20m&#7873;m.xlsx" TargetMode="External"/><Relationship Id="rId1" Type="http://schemas.openxmlformats.org/officeDocument/2006/relationships/externalLinkPath" Target="file:///C:\Users\123456~1\AppData\Local\Temp\Zalo%20Temp\TempDownloads\M&#244;%20t&#7843;%20ph&#7847;n%20m&#7873;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QUÂN SỐ"/>
      <sheetName val="1. QS, TBKT"/>
      <sheetName val="Đạn"/>
      <sheetName val="VCHC, VTKT"/>
      <sheetName val="Giao diện"/>
    </sheetNames>
    <sheetDataSet>
      <sheetData sheetId="0"/>
      <sheetData sheetId="1"/>
      <sheetData sheetId="2">
        <row r="10">
          <cell r="B10">
            <v>0</v>
          </cell>
          <cell r="E10">
            <v>0</v>
          </cell>
          <cell r="H10">
            <v>0</v>
          </cell>
        </row>
        <row r="11">
          <cell r="B11">
            <v>1.25</v>
          </cell>
          <cell r="E11">
            <v>1.25</v>
          </cell>
          <cell r="H11">
            <v>1.5</v>
          </cell>
        </row>
        <row r="16">
          <cell r="B16">
            <v>1.25</v>
          </cell>
          <cell r="E16">
            <v>1.25</v>
          </cell>
          <cell r="H16">
            <v>1.5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2AC3B-8D90-4B0D-96EA-52FB68143200}">
  <dimension ref="A1:I14"/>
  <sheetViews>
    <sheetView zoomScale="91" workbookViewId="0">
      <selection activeCell="J20" sqref="J20"/>
    </sheetView>
  </sheetViews>
  <sheetFormatPr defaultRowHeight="15"/>
  <cols>
    <col min="2" max="2" width="10.42578125" customWidth="1"/>
  </cols>
  <sheetData>
    <row r="1" spans="1:9">
      <c r="A1" s="25" t="s">
        <v>4</v>
      </c>
      <c r="B1" s="28" t="s">
        <v>5</v>
      </c>
      <c r="C1" s="28" t="s">
        <v>6</v>
      </c>
      <c r="D1" s="28" t="s">
        <v>7</v>
      </c>
      <c r="E1" s="31" t="s">
        <v>8</v>
      </c>
      <c r="F1" s="32"/>
      <c r="G1" s="32"/>
      <c r="H1" s="32"/>
      <c r="I1" s="33"/>
    </row>
    <row r="2" spans="1:9">
      <c r="A2" s="26"/>
      <c r="B2" s="29"/>
      <c r="C2" s="29"/>
      <c r="D2" s="29"/>
      <c r="E2" s="34"/>
      <c r="F2" s="35"/>
      <c r="G2" s="35"/>
      <c r="H2" s="35"/>
      <c r="I2" s="36"/>
    </row>
    <row r="3" spans="1:9">
      <c r="A3" s="27"/>
      <c r="B3" s="30"/>
      <c r="C3" s="30"/>
      <c r="D3" s="30"/>
      <c r="E3" s="1" t="s">
        <v>9</v>
      </c>
      <c r="F3" s="1" t="s">
        <v>10</v>
      </c>
      <c r="G3" s="1" t="s">
        <v>11</v>
      </c>
      <c r="H3" s="1" t="s">
        <v>12</v>
      </c>
      <c r="I3" s="1" t="s">
        <v>3</v>
      </c>
    </row>
    <row r="4" spans="1:9">
      <c r="A4" s="2">
        <v>1</v>
      </c>
      <c r="B4" s="2" t="s">
        <v>13</v>
      </c>
      <c r="C4" s="2">
        <v>0</v>
      </c>
      <c r="D4" s="3">
        <v>0</v>
      </c>
      <c r="E4" s="2">
        <f>ROUNDUP(I4*0.5,0)</f>
        <v>0</v>
      </c>
      <c r="F4" s="2">
        <f>ROUND(I4*0.25,0)</f>
        <v>0</v>
      </c>
      <c r="G4" s="2">
        <f>ROUND(I4*0.15,0)</f>
        <v>0</v>
      </c>
      <c r="H4" s="2">
        <f>I4-E4-F4-G4</f>
        <v>0</v>
      </c>
      <c r="I4" s="2">
        <f>ROUND(C4*D4/100,0)</f>
        <v>0</v>
      </c>
    </row>
    <row r="5" spans="1:9">
      <c r="A5" s="2">
        <v>2</v>
      </c>
      <c r="B5" s="2" t="s">
        <v>14</v>
      </c>
      <c r="C5" s="2">
        <v>0</v>
      </c>
      <c r="D5" s="3">
        <v>0</v>
      </c>
      <c r="E5" s="2">
        <f t="shared" ref="E5:E8" si="0">ROUNDUP(I5*0.5,0)</f>
        <v>0</v>
      </c>
      <c r="F5" s="2">
        <f t="shared" ref="F5:F8" si="1">ROUND(I5*0.25,0)</f>
        <v>0</v>
      </c>
      <c r="G5" s="2">
        <f t="shared" ref="G5:G8" si="2">ROUND(I5*0.15,0)</f>
        <v>0</v>
      </c>
      <c r="H5" s="2">
        <f t="shared" ref="H5:H8" si="3">I5-E5-F5-G5</f>
        <v>0</v>
      </c>
      <c r="I5" s="2">
        <f t="shared" ref="I5:I8" si="4">ROUND(C5*D5/100,0)</f>
        <v>0</v>
      </c>
    </row>
    <row r="6" spans="1:9">
      <c r="A6" s="2">
        <v>3</v>
      </c>
      <c r="B6" s="2" t="s">
        <v>15</v>
      </c>
      <c r="C6" s="2">
        <v>0</v>
      </c>
      <c r="D6" s="3">
        <v>0</v>
      </c>
      <c r="E6" s="2">
        <f t="shared" si="0"/>
        <v>0</v>
      </c>
      <c r="F6" s="2">
        <f t="shared" si="1"/>
        <v>0</v>
      </c>
      <c r="G6" s="2">
        <f t="shared" si="2"/>
        <v>0</v>
      </c>
      <c r="H6" s="2">
        <f t="shared" si="3"/>
        <v>0</v>
      </c>
      <c r="I6" s="2">
        <f t="shared" si="4"/>
        <v>0</v>
      </c>
    </row>
    <row r="7" spans="1:9">
      <c r="A7" s="2">
        <v>4</v>
      </c>
      <c r="B7" s="2" t="s">
        <v>16</v>
      </c>
      <c r="C7" s="2">
        <v>0</v>
      </c>
      <c r="D7" s="3">
        <v>0</v>
      </c>
      <c r="E7" s="2">
        <f t="shared" si="0"/>
        <v>0</v>
      </c>
      <c r="F7" s="2">
        <f t="shared" si="1"/>
        <v>0</v>
      </c>
      <c r="G7" s="2">
        <f t="shared" si="2"/>
        <v>0</v>
      </c>
      <c r="H7" s="2">
        <f t="shared" si="3"/>
        <v>0</v>
      </c>
      <c r="I7" s="2">
        <f t="shared" si="4"/>
        <v>0</v>
      </c>
    </row>
    <row r="8" spans="1:9">
      <c r="A8" s="2">
        <v>5</v>
      </c>
      <c r="B8" s="2" t="s">
        <v>1</v>
      </c>
      <c r="C8" s="2">
        <v>0</v>
      </c>
      <c r="D8" s="3">
        <v>0</v>
      </c>
      <c r="E8" s="2">
        <f t="shared" si="0"/>
        <v>0</v>
      </c>
      <c r="F8" s="2">
        <f t="shared" si="1"/>
        <v>0</v>
      </c>
      <c r="G8" s="2">
        <f t="shared" si="2"/>
        <v>0</v>
      </c>
      <c r="H8" s="2">
        <f t="shared" si="3"/>
        <v>0</v>
      </c>
      <c r="I8" s="2">
        <f t="shared" si="4"/>
        <v>0</v>
      </c>
    </row>
    <row r="9" spans="1:9">
      <c r="A9" s="2">
        <v>6</v>
      </c>
      <c r="B9" s="2" t="s">
        <v>0</v>
      </c>
      <c r="C9" s="2">
        <v>0</v>
      </c>
      <c r="D9" s="3">
        <v>0</v>
      </c>
      <c r="E9" s="2">
        <f t="shared" ref="E9:E11" si="5">ROUNDUP(I9*0.5,0)</f>
        <v>0</v>
      </c>
      <c r="F9" s="2">
        <f t="shared" ref="F9:F11" si="6">ROUND(I9*0.25,0)</f>
        <v>0</v>
      </c>
      <c r="G9" s="2">
        <f t="shared" ref="G9:G11" si="7">ROUND(I9*0.15,0)</f>
        <v>0</v>
      </c>
      <c r="H9" s="2">
        <f t="shared" ref="H9:H11" si="8">I9-E9-F9-G9</f>
        <v>0</v>
      </c>
      <c r="I9" s="2">
        <f t="shared" ref="I9:I11" si="9">ROUND(C9*D9/100,0)</f>
        <v>0</v>
      </c>
    </row>
    <row r="10" spans="1:9">
      <c r="A10" s="2">
        <v>7</v>
      </c>
      <c r="B10" s="2" t="s">
        <v>17</v>
      </c>
      <c r="C10" s="2">
        <v>0</v>
      </c>
      <c r="D10" s="3">
        <v>0</v>
      </c>
      <c r="E10" s="2">
        <f t="shared" si="5"/>
        <v>0</v>
      </c>
      <c r="F10" s="2">
        <f t="shared" si="6"/>
        <v>0</v>
      </c>
      <c r="G10" s="2">
        <f t="shared" si="7"/>
        <v>0</v>
      </c>
      <c r="H10" s="2">
        <f t="shared" si="8"/>
        <v>0</v>
      </c>
      <c r="I10" s="2">
        <f t="shared" si="9"/>
        <v>0</v>
      </c>
    </row>
    <row r="11" spans="1:9">
      <c r="A11" s="2">
        <v>8</v>
      </c>
      <c r="B11" s="2" t="s">
        <v>18</v>
      </c>
      <c r="C11" s="2">
        <v>0</v>
      </c>
      <c r="D11" s="3">
        <v>0</v>
      </c>
      <c r="E11" s="2">
        <f t="shared" si="5"/>
        <v>0</v>
      </c>
      <c r="F11" s="2">
        <f t="shared" si="6"/>
        <v>0</v>
      </c>
      <c r="G11" s="2">
        <f t="shared" si="7"/>
        <v>0</v>
      </c>
      <c r="H11" s="2">
        <f t="shared" si="8"/>
        <v>0</v>
      </c>
      <c r="I11" s="2">
        <f t="shared" si="9"/>
        <v>0</v>
      </c>
    </row>
    <row r="12" spans="1:9">
      <c r="A12" s="2">
        <v>9</v>
      </c>
      <c r="B12" s="2" t="s">
        <v>19</v>
      </c>
      <c r="C12" s="2">
        <v>0</v>
      </c>
      <c r="D12" s="3">
        <v>0</v>
      </c>
      <c r="E12" s="2">
        <f t="shared" ref="E12:E14" si="10">ROUNDUP(I12*0.5,0)</f>
        <v>0</v>
      </c>
      <c r="F12" s="2">
        <f t="shared" ref="F12:F14" si="11">ROUND(I12*0.25,0)</f>
        <v>0</v>
      </c>
      <c r="G12" s="2">
        <f t="shared" ref="G12:G14" si="12">ROUND(I12*0.15,0)</f>
        <v>0</v>
      </c>
      <c r="H12" s="2">
        <f t="shared" ref="H12:H14" si="13">I12-E12-F12-G12</f>
        <v>0</v>
      </c>
      <c r="I12" s="2">
        <f t="shared" ref="I12:I14" si="14">ROUND(C12*D12/100,0)</f>
        <v>0</v>
      </c>
    </row>
    <row r="13" spans="1:9">
      <c r="A13" s="2">
        <v>10</v>
      </c>
      <c r="B13" s="2" t="s">
        <v>2</v>
      </c>
      <c r="C13" s="2">
        <v>0</v>
      </c>
      <c r="D13" s="3">
        <v>0</v>
      </c>
      <c r="E13" s="2">
        <f t="shared" si="10"/>
        <v>0</v>
      </c>
      <c r="F13" s="2">
        <f t="shared" si="11"/>
        <v>0</v>
      </c>
      <c r="G13" s="2">
        <f t="shared" si="12"/>
        <v>0</v>
      </c>
      <c r="H13" s="2">
        <f t="shared" si="13"/>
        <v>0</v>
      </c>
      <c r="I13" s="2">
        <f t="shared" si="14"/>
        <v>0</v>
      </c>
    </row>
    <row r="14" spans="1:9">
      <c r="A14" s="2">
        <v>11</v>
      </c>
      <c r="B14" s="2" t="s">
        <v>20</v>
      </c>
      <c r="C14" s="2">
        <v>0</v>
      </c>
      <c r="D14" s="3">
        <v>0</v>
      </c>
      <c r="E14" s="2">
        <f t="shared" si="10"/>
        <v>0</v>
      </c>
      <c r="F14" s="2">
        <f t="shared" si="11"/>
        <v>0</v>
      </c>
      <c r="G14" s="2">
        <f t="shared" si="12"/>
        <v>0</v>
      </c>
      <c r="H14" s="2">
        <f t="shared" si="13"/>
        <v>0</v>
      </c>
      <c r="I14" s="2">
        <f t="shared" si="14"/>
        <v>0</v>
      </c>
    </row>
  </sheetData>
  <mergeCells count="5">
    <mergeCell ref="A1:A3"/>
    <mergeCell ref="B1:B3"/>
    <mergeCell ref="C1:C3"/>
    <mergeCell ref="D1:D3"/>
    <mergeCell ref="E1:I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5507F-02BA-4790-AB88-8656D327FB49}">
  <dimension ref="A1:N13"/>
  <sheetViews>
    <sheetView tabSelected="1" workbookViewId="0">
      <selection activeCell="O11" sqref="O11"/>
    </sheetView>
  </sheetViews>
  <sheetFormatPr defaultRowHeight="15"/>
  <sheetData>
    <row r="1" spans="1:14">
      <c r="A1" s="37" t="s">
        <v>21</v>
      </c>
      <c r="B1" s="40" t="s">
        <v>48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2"/>
      <c r="N1" s="37" t="s">
        <v>49</v>
      </c>
    </row>
    <row r="2" spans="1:14">
      <c r="A2" s="38"/>
      <c r="B2" s="40" t="s">
        <v>50</v>
      </c>
      <c r="C2" s="41"/>
      <c r="D2" s="41"/>
      <c r="E2" s="42"/>
      <c r="F2" s="40" t="s">
        <v>51</v>
      </c>
      <c r="G2" s="41"/>
      <c r="H2" s="41"/>
      <c r="I2" s="41"/>
      <c r="J2" s="42"/>
      <c r="K2" s="37" t="s">
        <v>52</v>
      </c>
      <c r="L2" s="37" t="s">
        <v>53</v>
      </c>
      <c r="M2" s="37" t="s">
        <v>22</v>
      </c>
      <c r="N2" s="38"/>
    </row>
    <row r="3" spans="1:14">
      <c r="A3" s="39"/>
      <c r="B3" s="14" t="s">
        <v>54</v>
      </c>
      <c r="C3" s="14" t="s">
        <v>47</v>
      </c>
      <c r="D3" s="14" t="s">
        <v>46</v>
      </c>
      <c r="E3" s="14" t="s">
        <v>3</v>
      </c>
      <c r="F3" s="14" t="s">
        <v>55</v>
      </c>
      <c r="G3" s="14" t="s">
        <v>43</v>
      </c>
      <c r="H3" s="14" t="s">
        <v>44</v>
      </c>
      <c r="I3" s="14" t="s">
        <v>45</v>
      </c>
      <c r="J3" s="14" t="s">
        <v>3</v>
      </c>
      <c r="K3" s="39"/>
      <c r="L3" s="39"/>
      <c r="M3" s="39"/>
      <c r="N3" s="39"/>
    </row>
    <row r="4" spans="1:14" ht="25.5">
      <c r="A4" s="15" t="s">
        <v>56</v>
      </c>
      <c r="B4" s="15" t="s">
        <v>57</v>
      </c>
      <c r="C4" s="15" t="s">
        <v>57</v>
      </c>
      <c r="D4" s="15" t="s">
        <v>57</v>
      </c>
      <c r="E4" s="15" t="s">
        <v>57</v>
      </c>
      <c r="F4" s="15" t="s">
        <v>57</v>
      </c>
      <c r="G4" s="15" t="s">
        <v>57</v>
      </c>
      <c r="H4" s="15" t="s">
        <v>57</v>
      </c>
      <c r="I4" s="15" t="s">
        <v>57</v>
      </c>
      <c r="J4" s="15" t="s">
        <v>57</v>
      </c>
      <c r="K4" s="15" t="s">
        <v>57</v>
      </c>
      <c r="L4" s="15" t="s">
        <v>58</v>
      </c>
      <c r="M4" s="15" t="s">
        <v>59</v>
      </c>
      <c r="N4" s="15"/>
    </row>
    <row r="5" spans="1:14">
      <c r="A5" s="16" t="s">
        <v>23</v>
      </c>
      <c r="B5" s="17"/>
      <c r="C5" s="18">
        <f>C6+C10</f>
        <v>8</v>
      </c>
      <c r="D5" s="18" t="e">
        <f>(D6+D10)</f>
        <v>#REF!</v>
      </c>
      <c r="E5" s="18" t="e">
        <f t="shared" ref="E5:J5" si="0">E6+E10</f>
        <v>#REF!</v>
      </c>
      <c r="F5" s="18">
        <f t="shared" si="0"/>
        <v>0</v>
      </c>
      <c r="G5" s="18" t="e">
        <f t="shared" si="0"/>
        <v>#REF!</v>
      </c>
      <c r="H5" s="18" t="e">
        <f t="shared" si="0"/>
        <v>#REF!</v>
      </c>
      <c r="I5" s="18" t="e">
        <f t="shared" si="0"/>
        <v>#REF!</v>
      </c>
      <c r="J5" s="18" t="e">
        <f t="shared" si="0"/>
        <v>#REF!</v>
      </c>
      <c r="K5" s="17"/>
      <c r="L5" s="18" t="e">
        <f>E5+J5</f>
        <v>#REF!</v>
      </c>
      <c r="M5" s="19">
        <v>63</v>
      </c>
      <c r="N5" s="17"/>
    </row>
    <row r="6" spans="1:14">
      <c r="A6" s="12" t="s">
        <v>60</v>
      </c>
      <c r="B6" s="17"/>
      <c r="C6" s="18">
        <f>C7+C8+C9</f>
        <v>5</v>
      </c>
      <c r="D6" s="18" t="e">
        <f>(D7+D8+D9)</f>
        <v>#REF!</v>
      </c>
      <c r="E6" s="18" t="e">
        <f t="shared" ref="E6:I6" si="1">E7+E8+E9</f>
        <v>#REF!</v>
      </c>
      <c r="F6" s="18">
        <f t="shared" si="1"/>
        <v>0</v>
      </c>
      <c r="G6" s="18" t="e">
        <f t="shared" si="1"/>
        <v>#REF!</v>
      </c>
      <c r="H6" s="18" t="e">
        <f t="shared" si="1"/>
        <v>#REF!</v>
      </c>
      <c r="I6" s="18" t="e">
        <f t="shared" si="1"/>
        <v>#REF!</v>
      </c>
      <c r="J6" s="18" t="e">
        <f>F6+G6+H6+I6</f>
        <v>#REF!</v>
      </c>
      <c r="K6" s="17"/>
      <c r="L6" s="18" t="e">
        <f t="shared" ref="L6:L13" si="2">E6+J6</f>
        <v>#REF!</v>
      </c>
      <c r="M6" s="17"/>
      <c r="N6" s="17"/>
    </row>
    <row r="7" spans="1:14" ht="30">
      <c r="A7" s="13" t="s">
        <v>61</v>
      </c>
      <c r="B7" s="17"/>
      <c r="C7" s="18">
        <f>[1]Đạn!B10+[1]Đạn!E10+[1]Đạn!B11+[1]Đạn!E11</f>
        <v>2.5</v>
      </c>
      <c r="D7" s="18"/>
      <c r="E7" s="18">
        <f>B7+C7+D7</f>
        <v>2.5</v>
      </c>
      <c r="F7" s="18"/>
      <c r="G7" s="18"/>
      <c r="H7" s="18"/>
      <c r="I7" s="18"/>
      <c r="J7" s="18">
        <f t="shared" ref="J7:J13" si="3">F7+G7+H7+I7</f>
        <v>0</v>
      </c>
      <c r="K7" s="17"/>
      <c r="L7" s="18">
        <f t="shared" si="2"/>
        <v>2.5</v>
      </c>
      <c r="M7" s="17"/>
      <c r="N7" s="17"/>
    </row>
    <row r="8" spans="1:14">
      <c r="A8" s="13" t="s">
        <v>62</v>
      </c>
      <c r="B8" s="17"/>
      <c r="C8" s="20">
        <f>[1]Đạn!B16+[1]Đạn!E16+[1]Đạn!B22+[1]Đạn!E22</f>
        <v>2.5</v>
      </c>
      <c r="D8" s="20" t="e">
        <f>(#REF!+#REF!)</f>
        <v>#REF!</v>
      </c>
      <c r="E8" s="20" t="e">
        <f>B8+C8+D8</f>
        <v>#REF!</v>
      </c>
      <c r="F8" s="18"/>
      <c r="G8" s="18" t="e">
        <f>(#REF!+#REF!)</f>
        <v>#REF!</v>
      </c>
      <c r="H8" s="18" t="e">
        <f>(#REF!+#REF!)</f>
        <v>#REF!</v>
      </c>
      <c r="I8" s="18" t="e">
        <f>(#REF!+#REF!)</f>
        <v>#REF!</v>
      </c>
      <c r="J8" s="18" t="e">
        <f t="shared" si="3"/>
        <v>#REF!</v>
      </c>
      <c r="K8" s="17"/>
      <c r="L8" s="18" t="e">
        <f t="shared" si="2"/>
        <v>#REF!</v>
      </c>
      <c r="M8" s="17"/>
      <c r="N8" s="17"/>
    </row>
    <row r="9" spans="1:14" ht="30">
      <c r="A9" s="13" t="s">
        <v>63</v>
      </c>
      <c r="B9" s="17"/>
      <c r="C9" s="18"/>
      <c r="D9" s="18"/>
      <c r="E9" s="18">
        <f>B9+C9+D9</f>
        <v>0</v>
      </c>
      <c r="F9" s="18"/>
      <c r="G9" s="18"/>
      <c r="H9" s="18"/>
      <c r="I9" s="18"/>
      <c r="J9" s="18">
        <f t="shared" si="3"/>
        <v>0</v>
      </c>
      <c r="K9" s="17"/>
      <c r="L9" s="18">
        <f t="shared" si="2"/>
        <v>0</v>
      </c>
      <c r="M9" s="17"/>
      <c r="N9" s="17"/>
    </row>
    <row r="10" spans="1:14">
      <c r="A10" s="12" t="s">
        <v>64</v>
      </c>
      <c r="B10" s="17"/>
      <c r="C10" s="18">
        <f>C11+C12+C13</f>
        <v>3</v>
      </c>
      <c r="D10" s="18" t="e">
        <f>(D11+D12+D13)</f>
        <v>#REF!</v>
      </c>
      <c r="E10" s="18" t="e">
        <f t="shared" ref="E10:I10" si="4">E11+E12+E13</f>
        <v>#REF!</v>
      </c>
      <c r="F10" s="18">
        <f t="shared" si="4"/>
        <v>0</v>
      </c>
      <c r="G10" s="18" t="e">
        <f t="shared" si="4"/>
        <v>#REF!</v>
      </c>
      <c r="H10" s="18" t="e">
        <f t="shared" si="4"/>
        <v>#REF!</v>
      </c>
      <c r="I10" s="18" t="e">
        <f t="shared" si="4"/>
        <v>#REF!</v>
      </c>
      <c r="J10" s="18" t="e">
        <f t="shared" si="3"/>
        <v>#REF!</v>
      </c>
      <c r="K10" s="17"/>
      <c r="L10" s="18" t="e">
        <f t="shared" si="2"/>
        <v>#REF!</v>
      </c>
      <c r="M10" s="19">
        <v>63</v>
      </c>
      <c r="N10" s="17"/>
    </row>
    <row r="11" spans="1:14" ht="30">
      <c r="A11" s="13" t="s">
        <v>61</v>
      </c>
      <c r="B11" s="17"/>
      <c r="C11" s="18">
        <f>[1]Đạn!H10+[1]Đạn!H11</f>
        <v>1.5</v>
      </c>
      <c r="D11" s="21"/>
      <c r="E11" s="18">
        <f>B11+C11+D11</f>
        <v>1.5</v>
      </c>
      <c r="F11" s="18"/>
      <c r="G11" s="18"/>
      <c r="H11" s="18"/>
      <c r="I11" s="18"/>
      <c r="J11" s="18">
        <f t="shared" si="3"/>
        <v>0</v>
      </c>
      <c r="K11" s="17"/>
      <c r="L11" s="18">
        <f t="shared" si="2"/>
        <v>1.5</v>
      </c>
      <c r="M11" s="17"/>
      <c r="N11" s="17"/>
    </row>
    <row r="12" spans="1:14">
      <c r="A12" s="13" t="s">
        <v>62</v>
      </c>
      <c r="B12" s="22"/>
      <c r="C12" s="23">
        <f>[1]Đạn!H16+[1]Đạn!H22</f>
        <v>1.5</v>
      </c>
      <c r="D12" s="23" t="e">
        <f>#REF!</f>
        <v>#REF!</v>
      </c>
      <c r="E12" s="18" t="e">
        <f t="shared" ref="E12:E13" si="5">B12+C12+D12</f>
        <v>#REF!</v>
      </c>
      <c r="F12" s="23"/>
      <c r="G12" s="23" t="e">
        <f>#REF!</f>
        <v>#REF!</v>
      </c>
      <c r="H12" s="23" t="e">
        <f>#REF!</f>
        <v>#REF!</v>
      </c>
      <c r="I12" s="23" t="e">
        <f>#REF!</f>
        <v>#REF!</v>
      </c>
      <c r="J12" s="18" t="e">
        <f t="shared" si="3"/>
        <v>#REF!</v>
      </c>
      <c r="K12" s="22"/>
      <c r="L12" s="18" t="e">
        <f t="shared" si="2"/>
        <v>#REF!</v>
      </c>
      <c r="M12" s="22">
        <v>63</v>
      </c>
      <c r="N12" s="22"/>
    </row>
    <row r="13" spans="1:14">
      <c r="A13" s="22" t="s">
        <v>63</v>
      </c>
      <c r="B13" s="24"/>
      <c r="C13" s="23"/>
      <c r="D13" s="23"/>
      <c r="E13" s="18">
        <f t="shared" si="5"/>
        <v>0</v>
      </c>
      <c r="F13" s="23"/>
      <c r="G13" s="23"/>
      <c r="H13" s="23"/>
      <c r="I13" s="23"/>
      <c r="J13" s="18">
        <f t="shared" si="3"/>
        <v>0</v>
      </c>
      <c r="K13" s="22"/>
      <c r="L13" s="18">
        <f t="shared" si="2"/>
        <v>0</v>
      </c>
      <c r="M13" s="22"/>
      <c r="N13" s="22"/>
    </row>
  </sheetData>
  <mergeCells count="8">
    <mergeCell ref="A1:A3"/>
    <mergeCell ref="B1:M1"/>
    <mergeCell ref="N1:N3"/>
    <mergeCell ref="B2:E2"/>
    <mergeCell ref="F2:J2"/>
    <mergeCell ref="K2:K3"/>
    <mergeCell ref="L2:L3"/>
    <mergeCell ref="M2:M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17497-2FA8-4780-A781-D58241AE9548}">
  <dimension ref="A1:Q14"/>
  <sheetViews>
    <sheetView workbookViewId="0">
      <selection activeCell="U14" sqref="U14"/>
    </sheetView>
  </sheetViews>
  <sheetFormatPr defaultRowHeight="15"/>
  <cols>
    <col min="5" max="9" width="8.85546875" customWidth="1"/>
  </cols>
  <sheetData>
    <row r="1" spans="1:17" ht="33.6" customHeight="1" thickBot="1">
      <c r="A1" s="46" t="s">
        <v>4</v>
      </c>
      <c r="B1" s="46" t="s">
        <v>24</v>
      </c>
      <c r="C1" s="46" t="s">
        <v>6</v>
      </c>
      <c r="D1" s="46" t="s">
        <v>25</v>
      </c>
      <c r="E1" s="48" t="s">
        <v>8</v>
      </c>
      <c r="F1" s="44"/>
      <c r="G1" s="44"/>
      <c r="H1" s="44"/>
      <c r="I1" s="45"/>
      <c r="J1" s="43" t="s">
        <v>26</v>
      </c>
      <c r="K1" s="44"/>
      <c r="L1" s="45"/>
      <c r="M1" s="43" t="s">
        <v>27</v>
      </c>
      <c r="N1" s="44"/>
      <c r="O1" s="44"/>
      <c r="P1" s="44"/>
      <c r="Q1" s="45"/>
    </row>
    <row r="2" spans="1:17" ht="32.450000000000003" customHeight="1" thickBot="1">
      <c r="A2" s="47"/>
      <c r="B2" s="47"/>
      <c r="C2" s="47"/>
      <c r="D2" s="47"/>
      <c r="E2" s="4" t="s">
        <v>28</v>
      </c>
      <c r="F2" s="4" t="s">
        <v>10</v>
      </c>
      <c r="G2" s="4" t="s">
        <v>29</v>
      </c>
      <c r="H2" s="4" t="s">
        <v>12</v>
      </c>
      <c r="I2" s="4" t="s">
        <v>3</v>
      </c>
      <c r="J2" s="4" t="s">
        <v>9</v>
      </c>
      <c r="K2" s="4" t="s">
        <v>10</v>
      </c>
      <c r="L2" s="4" t="s">
        <v>3</v>
      </c>
      <c r="M2" s="4" t="s">
        <v>9</v>
      </c>
      <c r="N2" s="4" t="s">
        <v>10</v>
      </c>
      <c r="O2" s="4" t="s">
        <v>11</v>
      </c>
      <c r="P2" s="4" t="s">
        <v>12</v>
      </c>
      <c r="Q2" s="4" t="s">
        <v>3</v>
      </c>
    </row>
    <row r="3" spans="1:17" ht="26.25" thickBot="1">
      <c r="A3" s="5" t="s">
        <v>30</v>
      </c>
      <c r="B3" s="6" t="s">
        <v>31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</row>
    <row r="4" spans="1:17" ht="26.25" thickBot="1">
      <c r="A4" s="5" t="s">
        <v>32</v>
      </c>
      <c r="B4" s="6" t="s">
        <v>33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1:17" ht="26.25" thickBot="1">
      <c r="A5" s="8">
        <v>1</v>
      </c>
      <c r="B5" s="9" t="s">
        <v>34</v>
      </c>
      <c r="C5" s="4">
        <v>9</v>
      </c>
      <c r="D5" s="10">
        <v>8</v>
      </c>
      <c r="E5" s="10">
        <v>1</v>
      </c>
      <c r="F5" s="10"/>
      <c r="G5" s="10"/>
      <c r="H5" s="10"/>
      <c r="I5" s="11">
        <v>1</v>
      </c>
      <c r="J5" s="10"/>
      <c r="K5" s="10"/>
      <c r="L5" s="10"/>
      <c r="M5" s="10">
        <v>1</v>
      </c>
      <c r="N5" s="10">
        <v>0</v>
      </c>
      <c r="O5" s="10"/>
      <c r="P5" s="10"/>
      <c r="Q5" s="10">
        <v>1</v>
      </c>
    </row>
    <row r="6" spans="1:17" ht="15.75" thickBot="1">
      <c r="A6" s="8">
        <v>2</v>
      </c>
      <c r="B6" s="9" t="s">
        <v>35</v>
      </c>
      <c r="C6" s="4">
        <v>4</v>
      </c>
      <c r="D6" s="10">
        <v>9</v>
      </c>
      <c r="E6" s="10">
        <v>1</v>
      </c>
      <c r="F6" s="10"/>
      <c r="G6" s="10"/>
      <c r="H6" s="10"/>
      <c r="I6" s="11">
        <v>1</v>
      </c>
      <c r="J6" s="10"/>
      <c r="K6" s="10"/>
      <c r="L6" s="10"/>
      <c r="M6" s="10">
        <v>1</v>
      </c>
      <c r="N6" s="10">
        <v>0</v>
      </c>
      <c r="O6" s="10"/>
      <c r="P6" s="10"/>
      <c r="Q6" s="10">
        <v>1</v>
      </c>
    </row>
    <row r="7" spans="1:17" ht="15.75" thickBot="1">
      <c r="A7" s="8">
        <v>3</v>
      </c>
      <c r="B7" s="9" t="s">
        <v>36</v>
      </c>
      <c r="C7" s="4">
        <v>4</v>
      </c>
      <c r="D7" s="10">
        <v>9</v>
      </c>
      <c r="E7" s="10">
        <v>1</v>
      </c>
      <c r="F7" s="10"/>
      <c r="G7" s="10"/>
      <c r="H7" s="10"/>
      <c r="I7" s="11">
        <v>1</v>
      </c>
      <c r="J7" s="10"/>
      <c r="K7" s="10"/>
      <c r="L7" s="10"/>
      <c r="M7" s="10">
        <v>1</v>
      </c>
      <c r="N7" s="10">
        <v>0</v>
      </c>
      <c r="O7" s="10"/>
      <c r="P7" s="10"/>
      <c r="Q7" s="10">
        <v>1</v>
      </c>
    </row>
    <row r="8" spans="1:17" ht="15.75" thickBot="1">
      <c r="A8" s="8">
        <v>4</v>
      </c>
      <c r="B8" s="9" t="s">
        <v>37</v>
      </c>
      <c r="C8" s="4">
        <v>8</v>
      </c>
      <c r="D8" s="10">
        <v>9</v>
      </c>
      <c r="E8" s="10">
        <v>1</v>
      </c>
      <c r="F8" s="10"/>
      <c r="G8" s="10"/>
      <c r="H8" s="10"/>
      <c r="I8" s="11">
        <v>1</v>
      </c>
      <c r="J8" s="10"/>
      <c r="K8" s="10"/>
      <c r="L8" s="10"/>
      <c r="M8" s="10">
        <v>1</v>
      </c>
      <c r="N8" s="10">
        <v>0</v>
      </c>
      <c r="O8" s="10"/>
      <c r="P8" s="10"/>
      <c r="Q8" s="10">
        <v>1</v>
      </c>
    </row>
    <row r="9" spans="1:17" ht="26.25" thickBot="1">
      <c r="A9" s="8">
        <v>5</v>
      </c>
      <c r="B9" s="9" t="s">
        <v>38</v>
      </c>
      <c r="C9" s="4">
        <v>9</v>
      </c>
      <c r="D9" s="10">
        <v>7.5</v>
      </c>
      <c r="E9" s="10">
        <v>1</v>
      </c>
      <c r="F9" s="10"/>
      <c r="G9" s="10"/>
      <c r="H9" s="10"/>
      <c r="I9" s="11">
        <v>1</v>
      </c>
      <c r="J9" s="10"/>
      <c r="K9" s="10"/>
      <c r="L9" s="10"/>
      <c r="M9" s="10">
        <v>1</v>
      </c>
      <c r="N9" s="10">
        <v>0</v>
      </c>
      <c r="O9" s="10"/>
      <c r="P9" s="10"/>
      <c r="Q9" s="10">
        <v>1</v>
      </c>
    </row>
    <row r="10" spans="1:17" ht="15.75" thickBot="1">
      <c r="A10" s="8">
        <v>6</v>
      </c>
      <c r="B10" s="9" t="s">
        <v>39</v>
      </c>
      <c r="C10" s="4">
        <v>72</v>
      </c>
      <c r="D10" s="10">
        <v>2</v>
      </c>
      <c r="E10" s="10">
        <v>1</v>
      </c>
      <c r="F10" s="10">
        <v>1</v>
      </c>
      <c r="G10" s="10"/>
      <c r="H10" s="10"/>
      <c r="I10" s="11">
        <v>2</v>
      </c>
      <c r="J10" s="10"/>
      <c r="K10" s="10"/>
      <c r="L10" s="10"/>
      <c r="M10" s="10">
        <v>1</v>
      </c>
      <c r="N10" s="10">
        <v>1</v>
      </c>
      <c r="O10" s="10"/>
      <c r="P10" s="10"/>
      <c r="Q10" s="10">
        <v>2</v>
      </c>
    </row>
    <row r="11" spans="1:17" ht="26.25" thickBot="1">
      <c r="A11" s="8">
        <v>7</v>
      </c>
      <c r="B11" s="9" t="s">
        <v>40</v>
      </c>
      <c r="C11" s="4">
        <v>8</v>
      </c>
      <c r="D11" s="10">
        <v>2</v>
      </c>
      <c r="E11" s="10">
        <v>1</v>
      </c>
      <c r="F11" s="10"/>
      <c r="G11" s="10"/>
      <c r="H11" s="10"/>
      <c r="I11" s="11">
        <v>1</v>
      </c>
      <c r="J11" s="10"/>
      <c r="K11" s="10"/>
      <c r="L11" s="10"/>
      <c r="M11" s="10">
        <v>1</v>
      </c>
      <c r="N11" s="10">
        <v>0</v>
      </c>
      <c r="O11" s="10"/>
      <c r="P11" s="10"/>
      <c r="Q11" s="10">
        <v>1</v>
      </c>
    </row>
    <row r="12" spans="1:17" ht="26.25" thickBot="1">
      <c r="A12" s="8">
        <v>8</v>
      </c>
      <c r="B12" s="9" t="s">
        <v>41</v>
      </c>
      <c r="C12" s="4">
        <v>36</v>
      </c>
      <c r="D12" s="10">
        <v>2</v>
      </c>
      <c r="E12" s="10">
        <v>1</v>
      </c>
      <c r="F12" s="10"/>
      <c r="G12" s="10"/>
      <c r="H12" s="10"/>
      <c r="I12" s="11">
        <v>1</v>
      </c>
      <c r="J12" s="10"/>
      <c r="K12" s="10"/>
      <c r="L12" s="10"/>
      <c r="M12" s="10">
        <v>1</v>
      </c>
      <c r="N12" s="10">
        <v>0</v>
      </c>
      <c r="O12" s="10"/>
      <c r="P12" s="10"/>
      <c r="Q12" s="10">
        <v>1</v>
      </c>
    </row>
    <row r="13" spans="1:17" ht="26.25" thickBot="1">
      <c r="A13" s="8">
        <v>9</v>
      </c>
      <c r="B13" s="9" t="s">
        <v>42</v>
      </c>
      <c r="C13" s="4">
        <v>486</v>
      </c>
      <c r="D13" s="10">
        <v>2</v>
      </c>
      <c r="E13" s="10">
        <v>7</v>
      </c>
      <c r="F13" s="10">
        <v>3</v>
      </c>
      <c r="G13" s="10"/>
      <c r="H13" s="10"/>
      <c r="I13" s="11">
        <v>10</v>
      </c>
      <c r="J13" s="10"/>
      <c r="K13" s="10"/>
      <c r="L13" s="10"/>
      <c r="M13" s="10">
        <v>7</v>
      </c>
      <c r="N13" s="10">
        <v>3</v>
      </c>
      <c r="O13" s="10"/>
      <c r="P13" s="10"/>
      <c r="Q13" s="10">
        <v>10</v>
      </c>
    </row>
    <row r="14" spans="1:17" ht="26.25" thickBot="1">
      <c r="A14" s="8">
        <v>10</v>
      </c>
      <c r="B14" s="9" t="s">
        <v>13</v>
      </c>
      <c r="C14" s="4">
        <v>42</v>
      </c>
      <c r="D14" s="10">
        <v>2</v>
      </c>
      <c r="E14" s="10">
        <v>1</v>
      </c>
      <c r="F14" s="10"/>
      <c r="G14" s="10"/>
      <c r="H14" s="10"/>
      <c r="I14" s="11">
        <v>1</v>
      </c>
      <c r="J14" s="10"/>
      <c r="K14" s="10"/>
      <c r="L14" s="10"/>
      <c r="M14" s="10">
        <v>1</v>
      </c>
      <c r="N14" s="10">
        <v>0</v>
      </c>
      <c r="O14" s="10"/>
      <c r="P14" s="10"/>
      <c r="Q14" s="10">
        <v>1</v>
      </c>
    </row>
  </sheetData>
  <mergeCells count="7">
    <mergeCell ref="M1:Q1"/>
    <mergeCell ref="A1:A2"/>
    <mergeCell ref="B1:B2"/>
    <mergeCell ref="C1:C2"/>
    <mergeCell ref="D1:D2"/>
    <mergeCell ref="E1:I1"/>
    <mergeCell ref="J1:L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3</vt:i4>
      </vt:variant>
    </vt:vector>
  </HeadingPairs>
  <TitlesOfParts>
    <vt:vector size="3" baseType="lpstr">
      <vt:lpstr>SuaChua</vt:lpstr>
      <vt:lpstr>KeHoach9.2</vt:lpstr>
      <vt:lpstr>KeHoachSuaChua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Nguyen Thi Thanh Huyen</cp:lastModifiedBy>
  <dcterms:created xsi:type="dcterms:W3CDTF">2025-12-02T15:26:00Z</dcterms:created>
  <dcterms:modified xsi:type="dcterms:W3CDTF">2026-03-05T15:52:00Z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EA5910DF0ACF4499B29763509B539F6C_12</vt:lpwstr>
  </property>
  <property fmtid="{D5CDD505-2E9C-101B-9397-08002B2CF9AE}" pid="3" name="KSOProductBuildVer">
    <vt:lpwstr>1033-12.2.0.23196</vt:lpwstr>
  </property>
</Properties>
</file>