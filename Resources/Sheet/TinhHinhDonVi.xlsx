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7508C2DC-ED05-4000-81CD-E05935CA38C9}" xr6:coauthVersionLast="47" xr6:coauthVersionMax="47" xr10:uidLastSave="{00000000-0000-0000-0000-000000000000}"/>
  <bookViews>
    <workbookView xWindow="-120" yWindow="-120" windowWidth="29040" windowHeight="17640" activeTab="2" xr2:uid="{00000000-000D-0000-FFFF-FFFF00000000}"/>
  </bookViews>
  <sheets>
    <sheet name="TinhHinhVc" sheetId="15" r:id="rId1"/>
    <sheet name="ChiLenhHCKT" sheetId="14" r:id="rId2"/>
    <sheet name="KeHoachDuKien" sheetId="1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5" l="1"/>
  <c r="F27" i="15"/>
  <c r="F25" i="15"/>
  <c r="F24" i="15"/>
  <c r="F23" i="15"/>
  <c r="F22" i="15"/>
  <c r="F20" i="15"/>
  <c r="F19" i="15"/>
  <c r="F18" i="15"/>
  <c r="F17" i="15"/>
  <c r="F16" i="15"/>
  <c r="F13" i="15"/>
  <c r="F12" i="15"/>
  <c r="F10" i="15"/>
  <c r="F9" i="15"/>
  <c r="F8" i="15"/>
  <c r="F7" i="15"/>
  <c r="F6" i="15"/>
  <c r="F5" i="15"/>
  <c r="F4" i="15"/>
  <c r="D4" i="14"/>
  <c r="D5" i="14"/>
  <c r="D6" i="14"/>
  <c r="D7" i="14"/>
  <c r="D8" i="14"/>
  <c r="D9" i="14"/>
  <c r="D10" i="14"/>
  <c r="D11" i="14"/>
  <c r="D12" i="14"/>
  <c r="D13" i="14"/>
  <c r="D14" i="14"/>
  <c r="D16" i="14"/>
  <c r="D17" i="14"/>
  <c r="D18" i="14"/>
  <c r="D19" i="14"/>
  <c r="D20" i="14"/>
  <c r="D22" i="14"/>
  <c r="D23" i="14"/>
  <c r="D24" i="14"/>
  <c r="D25" i="14"/>
  <c r="D27" i="14"/>
  <c r="D28" i="14"/>
</calcChain>
</file>

<file path=xl/sharedStrings.xml><?xml version="1.0" encoding="utf-8"?>
<sst xmlns="http://schemas.openxmlformats.org/spreadsheetml/2006/main" count="135" uniqueCount="86">
  <si>
    <t>Lựu đạn</t>
  </si>
  <si>
    <t>+</t>
  </si>
  <si>
    <t>TT</t>
  </si>
  <si>
    <t>%QS</t>
  </si>
  <si>
    <t>I</t>
  </si>
  <si>
    <t>II</t>
  </si>
  <si>
    <t>SMPK 12,7mm</t>
  </si>
  <si>
    <t>Súng SPG-9</t>
  </si>
  <si>
    <t>Đạn</t>
  </si>
  <si>
    <t>Ghi chú</t>
  </si>
  <si>
    <t>Vật chất hậu cần</t>
  </si>
  <si>
    <t>GĐCB</t>
  </si>
  <si>
    <t>GĐCĐ</t>
  </si>
  <si>
    <t>Loại vật chất</t>
  </si>
  <si>
    <t>ĐVT</t>
  </si>
  <si>
    <t>Hiện có</t>
  </si>
  <si>
    <t>Kho/d</t>
  </si>
  <si>
    <t>Đơn vị</t>
  </si>
  <si>
    <t>ĐẠN</t>
  </si>
  <si>
    <t>Đạn K51 (súng ngắn)</t>
  </si>
  <si>
    <t>CS/k</t>
  </si>
  <si>
    <t>Đạn K56 (súng TL, Tr.L)</t>
  </si>
  <si>
    <t>,,</t>
  </si>
  <si>
    <t>Đạn K53 (súng ĐL)</t>
  </si>
  <si>
    <t>Đạn B41</t>
  </si>
  <si>
    <t>Đạn SPG-9</t>
  </si>
  <si>
    <t>Đạn Co60 mm</t>
  </si>
  <si>
    <t>Đạn Co82 mm</t>
  </si>
  <si>
    <t>Đạn Co100 mm</t>
  </si>
  <si>
    <t>Đạn SMPK 12,7</t>
  </si>
  <si>
    <t>VẬT CHẤT HẬU CẦN</t>
  </si>
  <si>
    <t>A</t>
  </si>
  <si>
    <t>Quân nhu</t>
  </si>
  <si>
    <t>Lương thực, thực phẩm</t>
  </si>
  <si>
    <t>Ngày ăn</t>
  </si>
  <si>
    <t>Lương khô</t>
  </si>
  <si>
    <t>Đường sữa thương binh</t>
  </si>
  <si>
    <t>% QS</t>
  </si>
  <si>
    <t>Quân lương chiến đấu</t>
  </si>
  <si>
    <t>Quân trang chiến đấu</t>
  </si>
  <si>
    <t>B</t>
  </si>
  <si>
    <t>Quân y</t>
  </si>
  <si>
    <t>Túi y sỹ</t>
  </si>
  <si>
    <t>Túi</t>
  </si>
  <si>
    <t>Túi y tá</t>
  </si>
  <si>
    <t>Túi cứu thương</t>
  </si>
  <si>
    <t>Băng cá nhân</t>
  </si>
  <si>
    <t>C/người</t>
  </si>
  <si>
    <t>C</t>
  </si>
  <si>
    <t>Doanh trại</t>
  </si>
  <si>
    <t>Dầu thắp</t>
  </si>
  <si>
    <t>Ngày</t>
  </si>
  <si>
    <t>III</t>
  </si>
  <si>
    <t>VẬT TƯ KỸ THUẬT</t>
  </si>
  <si>
    <t>Vật tư quân khí</t>
  </si>
  <si>
    <t>Tấn</t>
  </si>
  <si>
    <t>Đạn, vật chất hậu cần, vật tư kỹ thuật</t>
  </si>
  <si>
    <t>Quy định dự trữ</t>
  </si>
  <si>
    <t>Phải có 04.00-N</t>
  </si>
  <si>
    <t>Phải có SCĐ</t>
  </si>
  <si>
    <t>Tiêu thụ</t>
  </si>
  <si>
    <t>Đạn K51 (SN)</t>
  </si>
  <si>
    <t>Cơ số</t>
  </si>
  <si>
    <t>Đạn K56 (TL, TrL)</t>
  </si>
  <si>
    <t>Đạn K53 (ĐL)</t>
  </si>
  <si>
    <t>Đạn 12,7 mm</t>
  </si>
  <si>
    <t>Đạn cối 100 mm</t>
  </si>
  <si>
    <t>Đạn cối 82 mm</t>
  </si>
  <si>
    <t>Đạn cối 60 mm</t>
  </si>
  <si>
    <t>Quả</t>
  </si>
  <si>
    <t>LTTP</t>
  </si>
  <si>
    <t>ĐSTB</t>
  </si>
  <si>
    <t>QLCĐ</t>
  </si>
  <si>
    <t>QTCĐ</t>
  </si>
  <si>
    <t>C/ng</t>
  </si>
  <si>
    <t>Doanh Trại</t>
  </si>
  <si>
    <t>Vật tư kỹ thuật</t>
  </si>
  <si>
    <t>2. Dự kiến tỉ lệ thương binh, bệnh binh</t>
  </si>
  <si>
    <t>Tỷ lệ thương binh toàn trận</t>
  </si>
  <si>
    <t>Tỷ lệ thương binh trung bình ngày đêm</t>
  </si>
  <si>
    <t>Tỷ lệ thương binh ngày cao nhất</t>
  </si>
  <si>
    <t>Tỷ lệ thương binh phải càng</t>
  </si>
  <si>
    <t>Tỷ lệ bệnh binh toàn trận</t>
  </si>
  <si>
    <t>3. Dự kiến tỉ lệ vũ khí trang bị hư hỏng</t>
  </si>
  <si>
    <t>Súng cối các loại</t>
  </si>
  <si>
    <t>Súng bộ binh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</si>
</sst>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charset val="134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1" fillId="3" borderId="0" xfId="0" applyFont="1" applyFill="1"/>
    <xf numFmtId="0" fontId="1" fillId="0" borderId="0" xfId="0" applyFont="1"/>
    <xf numFmtId="0" fontId="2" fillId="0" borderId="0" xfId="0" applyFont="1"/>
    <xf numFmtId="0" fontId="2" fillId="3" borderId="0" xfId="0" applyFont="1" applyFill="1"/>
    <xf numFmtId="0" fontId="2" fillId="3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DA00E-0AB1-47FB-A67C-16A3EB46124C}">
  <dimension ref="A1:G29"/>
  <sheetViews>
    <sheetView workbookViewId="0">
      <selection activeCell="H29" sqref="H29"/>
    </sheetView>
  </sheetViews>
  <sheetFormatPr defaultRowHeight="15"/>
  <cols>
    <col min="2" max="2" width="33.7109375" customWidth="1"/>
    <col min="3" max="3" width="13.28515625" customWidth="1"/>
  </cols>
  <sheetData>
    <row r="1" spans="1:7" ht="18.75">
      <c r="A1" s="15" t="s">
        <v>2</v>
      </c>
      <c r="B1" s="15" t="s">
        <v>13</v>
      </c>
      <c r="C1" s="15" t="s">
        <v>14</v>
      </c>
      <c r="D1" s="15" t="s">
        <v>15</v>
      </c>
      <c r="E1" s="15"/>
      <c r="F1" s="15"/>
      <c r="G1" s="15" t="s">
        <v>9</v>
      </c>
    </row>
    <row r="2" spans="1:7" ht="18.75">
      <c r="A2" s="15"/>
      <c r="B2" s="15"/>
      <c r="C2" s="15"/>
      <c r="D2" s="1" t="s">
        <v>16</v>
      </c>
      <c r="E2" s="1" t="s">
        <v>17</v>
      </c>
      <c r="F2" s="1" t="s">
        <v>1</v>
      </c>
      <c r="G2" s="15"/>
    </row>
    <row r="3" spans="1:7" ht="18.75">
      <c r="A3" s="1" t="s">
        <v>4</v>
      </c>
      <c r="B3" s="2" t="s">
        <v>18</v>
      </c>
      <c r="C3" s="3"/>
      <c r="D3" s="4"/>
      <c r="E3" s="4"/>
      <c r="F3" s="4"/>
      <c r="G3" s="4"/>
    </row>
    <row r="4" spans="1:7" ht="18.75">
      <c r="A4" s="3">
        <v>1</v>
      </c>
      <c r="B4" s="5" t="s">
        <v>19</v>
      </c>
      <c r="C4" s="3" t="s">
        <v>20</v>
      </c>
      <c r="D4" s="4">
        <v>0.15</v>
      </c>
      <c r="E4" s="4">
        <v>1</v>
      </c>
      <c r="F4" s="4">
        <f>D4+E4</f>
        <v>1.1499999999999999</v>
      </c>
      <c r="G4" s="4"/>
    </row>
    <row r="5" spans="1:7" ht="18.75">
      <c r="A5" s="3">
        <v>2</v>
      </c>
      <c r="B5" s="5" t="s">
        <v>21</v>
      </c>
      <c r="C5" s="3" t="s">
        <v>22</v>
      </c>
      <c r="D5" s="4">
        <v>0.15</v>
      </c>
      <c r="E5" s="4">
        <v>0.5</v>
      </c>
      <c r="F5" s="4">
        <f t="shared" ref="F5:F29" si="0">D5+E5</f>
        <v>0.65</v>
      </c>
      <c r="G5" s="4"/>
    </row>
    <row r="6" spans="1:7" ht="18.75">
      <c r="A6" s="3">
        <v>3</v>
      </c>
      <c r="B6" s="5" t="s">
        <v>23</v>
      </c>
      <c r="C6" s="3" t="s">
        <v>22</v>
      </c>
      <c r="D6" s="4">
        <v>0.15</v>
      </c>
      <c r="E6" s="4">
        <v>0.5</v>
      </c>
      <c r="F6" s="4">
        <f t="shared" si="0"/>
        <v>0.65</v>
      </c>
      <c r="G6" s="4"/>
    </row>
    <row r="7" spans="1:7" ht="18.75">
      <c r="A7" s="3">
        <v>4</v>
      </c>
      <c r="B7" s="5" t="s">
        <v>24</v>
      </c>
      <c r="C7" s="3" t="s">
        <v>22</v>
      </c>
      <c r="D7" s="4">
        <v>0.15</v>
      </c>
      <c r="E7" s="4">
        <v>0.33</v>
      </c>
      <c r="F7" s="4">
        <f t="shared" si="0"/>
        <v>0.48</v>
      </c>
      <c r="G7" s="4"/>
    </row>
    <row r="8" spans="1:7" ht="18.75">
      <c r="A8" s="3">
        <v>5</v>
      </c>
      <c r="B8" s="5" t="s">
        <v>25</v>
      </c>
      <c r="C8" s="3" t="s">
        <v>22</v>
      </c>
      <c r="D8" s="4">
        <v>0.1</v>
      </c>
      <c r="E8" s="4">
        <v>0.2</v>
      </c>
      <c r="F8" s="4">
        <f t="shared" si="0"/>
        <v>0.30000000000000004</v>
      </c>
      <c r="G8" s="4"/>
    </row>
    <row r="9" spans="1:7" ht="18.75">
      <c r="A9" s="3">
        <v>6</v>
      </c>
      <c r="B9" s="5" t="s">
        <v>26</v>
      </c>
      <c r="C9" s="3" t="s">
        <v>22</v>
      </c>
      <c r="D9" s="4">
        <v>0.1</v>
      </c>
      <c r="E9" s="4">
        <v>0.1</v>
      </c>
      <c r="F9" s="4">
        <f t="shared" si="0"/>
        <v>0.2</v>
      </c>
      <c r="G9" s="4"/>
    </row>
    <row r="10" spans="1:7" ht="18.75">
      <c r="A10" s="3">
        <v>7</v>
      </c>
      <c r="B10" s="5" t="s">
        <v>27</v>
      </c>
      <c r="C10" s="3" t="s">
        <v>22</v>
      </c>
      <c r="D10" s="4">
        <v>0.1</v>
      </c>
      <c r="E10" s="4">
        <v>0.1</v>
      </c>
      <c r="F10" s="4">
        <f t="shared" si="0"/>
        <v>0.2</v>
      </c>
      <c r="G10" s="4"/>
    </row>
    <row r="11" spans="1:7" ht="18.75">
      <c r="A11" s="3">
        <v>8</v>
      </c>
      <c r="B11" s="5" t="s">
        <v>28</v>
      </c>
      <c r="C11" s="3" t="s">
        <v>22</v>
      </c>
      <c r="D11" s="4">
        <v>0</v>
      </c>
      <c r="E11" s="4">
        <v>0</v>
      </c>
      <c r="F11" s="4">
        <v>0</v>
      </c>
      <c r="G11" s="4"/>
    </row>
    <row r="12" spans="1:7" ht="18.75">
      <c r="A12" s="3">
        <v>9</v>
      </c>
      <c r="B12" s="5" t="s">
        <v>29</v>
      </c>
      <c r="C12" s="3" t="s">
        <v>22</v>
      </c>
      <c r="D12" s="4">
        <v>0.15</v>
      </c>
      <c r="E12" s="4">
        <v>0.3</v>
      </c>
      <c r="F12" s="4">
        <f t="shared" si="0"/>
        <v>0.44999999999999996</v>
      </c>
      <c r="G12" s="4"/>
    </row>
    <row r="13" spans="1:7" ht="18.75">
      <c r="A13" s="3">
        <v>10</v>
      </c>
      <c r="B13" s="5" t="s">
        <v>0</v>
      </c>
      <c r="C13" s="3" t="s">
        <v>22</v>
      </c>
      <c r="D13" s="4">
        <v>0.1</v>
      </c>
      <c r="E13" s="4">
        <v>1</v>
      </c>
      <c r="F13" s="4">
        <f t="shared" si="0"/>
        <v>1.1000000000000001</v>
      </c>
      <c r="G13" s="4"/>
    </row>
    <row r="14" spans="1:7" ht="18.75">
      <c r="A14" s="1" t="s">
        <v>5</v>
      </c>
      <c r="B14" s="2" t="s">
        <v>30</v>
      </c>
      <c r="C14" s="3"/>
      <c r="D14" s="4"/>
      <c r="E14" s="4"/>
      <c r="F14" s="4"/>
      <c r="G14" s="4"/>
    </row>
    <row r="15" spans="1:7" ht="18.75">
      <c r="A15" s="1" t="s">
        <v>31</v>
      </c>
      <c r="B15" s="2" t="s">
        <v>32</v>
      </c>
      <c r="C15" s="3"/>
      <c r="D15" s="4"/>
      <c r="E15" s="4"/>
      <c r="F15" s="4"/>
      <c r="G15" s="4"/>
    </row>
    <row r="16" spans="1:7" ht="18.75">
      <c r="A16" s="3">
        <v>1</v>
      </c>
      <c r="B16" s="5" t="s">
        <v>33</v>
      </c>
      <c r="C16" s="3" t="s">
        <v>34</v>
      </c>
      <c r="D16" s="4">
        <v>2</v>
      </c>
      <c r="E16" s="4">
        <v>3</v>
      </c>
      <c r="F16" s="4">
        <f t="shared" si="0"/>
        <v>5</v>
      </c>
      <c r="G16" s="4"/>
    </row>
    <row r="17" spans="1:7" ht="18.75">
      <c r="A17" s="3">
        <v>2</v>
      </c>
      <c r="B17" s="5" t="s">
        <v>35</v>
      </c>
      <c r="C17" s="3" t="s">
        <v>34</v>
      </c>
      <c r="D17" s="4">
        <v>1</v>
      </c>
      <c r="E17" s="4">
        <v>1</v>
      </c>
      <c r="F17" s="4">
        <f t="shared" si="0"/>
        <v>2</v>
      </c>
      <c r="G17" s="4"/>
    </row>
    <row r="18" spans="1:7" ht="18.75">
      <c r="A18" s="3">
        <v>3</v>
      </c>
      <c r="B18" s="5" t="s">
        <v>36</v>
      </c>
      <c r="C18" s="3" t="s">
        <v>37</v>
      </c>
      <c r="D18" s="4">
        <v>1</v>
      </c>
      <c r="E18" s="4">
        <v>1</v>
      </c>
      <c r="F18" s="4">
        <f t="shared" si="0"/>
        <v>2</v>
      </c>
      <c r="G18" s="4"/>
    </row>
    <row r="19" spans="1:7" ht="18.75">
      <c r="A19" s="3">
        <v>4</v>
      </c>
      <c r="B19" s="5" t="s">
        <v>38</v>
      </c>
      <c r="C19" s="3" t="s">
        <v>3</v>
      </c>
      <c r="D19" s="4"/>
      <c r="E19" s="4">
        <v>100</v>
      </c>
      <c r="F19" s="4">
        <f t="shared" si="0"/>
        <v>100</v>
      </c>
      <c r="G19" s="4"/>
    </row>
    <row r="20" spans="1:7" ht="18.75">
      <c r="A20" s="3">
        <v>5</v>
      </c>
      <c r="B20" s="5" t="s">
        <v>39</v>
      </c>
      <c r="C20" s="3" t="s">
        <v>22</v>
      </c>
      <c r="D20" s="4"/>
      <c r="E20" s="4">
        <v>100</v>
      </c>
      <c r="F20" s="4">
        <f t="shared" si="0"/>
        <v>100</v>
      </c>
      <c r="G20" s="4"/>
    </row>
    <row r="21" spans="1:7" ht="18.75">
      <c r="A21" s="1" t="s">
        <v>40</v>
      </c>
      <c r="B21" s="2" t="s">
        <v>41</v>
      </c>
      <c r="C21" s="3"/>
      <c r="D21" s="4"/>
      <c r="E21" s="4"/>
      <c r="F21" s="4"/>
      <c r="G21" s="4"/>
    </row>
    <row r="22" spans="1:7" ht="18.75">
      <c r="A22" s="3">
        <v>6</v>
      </c>
      <c r="B22" s="5" t="s">
        <v>42</v>
      </c>
      <c r="C22" s="3" t="s">
        <v>43</v>
      </c>
      <c r="D22" s="4">
        <v>1</v>
      </c>
      <c r="E22" s="4">
        <v>1</v>
      </c>
      <c r="F22" s="4">
        <f t="shared" si="0"/>
        <v>2</v>
      </c>
      <c r="G22" s="4"/>
    </row>
    <row r="23" spans="1:7" ht="18.75">
      <c r="A23" s="3">
        <v>7</v>
      </c>
      <c r="B23" s="5" t="s">
        <v>44</v>
      </c>
      <c r="C23" s="3" t="s">
        <v>22</v>
      </c>
      <c r="D23" s="4">
        <v>2</v>
      </c>
      <c r="E23" s="4">
        <v>5</v>
      </c>
      <c r="F23" s="4">
        <f t="shared" si="0"/>
        <v>7</v>
      </c>
      <c r="G23" s="4"/>
    </row>
    <row r="24" spans="1:7" ht="18.75">
      <c r="A24" s="3">
        <v>8</v>
      </c>
      <c r="B24" s="5" t="s">
        <v>45</v>
      </c>
      <c r="C24" s="3" t="s">
        <v>22</v>
      </c>
      <c r="D24" s="4">
        <v>1</v>
      </c>
      <c r="E24" s="4">
        <v>8</v>
      </c>
      <c r="F24" s="4">
        <f t="shared" si="0"/>
        <v>9</v>
      </c>
      <c r="G24" s="4"/>
    </row>
    <row r="25" spans="1:7" ht="18.75">
      <c r="A25" s="3">
        <v>9</v>
      </c>
      <c r="B25" s="5" t="s">
        <v>46</v>
      </c>
      <c r="C25" s="3" t="s">
        <v>47</v>
      </c>
      <c r="D25" s="4"/>
      <c r="E25" s="4">
        <v>1</v>
      </c>
      <c r="F25" s="4">
        <f t="shared" si="0"/>
        <v>1</v>
      </c>
      <c r="G25" s="4"/>
    </row>
    <row r="26" spans="1:7" ht="18.75">
      <c r="A26" s="1" t="s">
        <v>48</v>
      </c>
      <c r="B26" s="2" t="s">
        <v>49</v>
      </c>
      <c r="C26" s="3"/>
      <c r="D26" s="4"/>
      <c r="E26" s="4"/>
      <c r="F26" s="4"/>
      <c r="G26" s="4"/>
    </row>
    <row r="27" spans="1:7" ht="18.75">
      <c r="A27" s="3">
        <v>10</v>
      </c>
      <c r="B27" s="5" t="s">
        <v>50</v>
      </c>
      <c r="C27" s="3" t="s">
        <v>51</v>
      </c>
      <c r="D27" s="4">
        <v>2</v>
      </c>
      <c r="E27" s="4">
        <v>3</v>
      </c>
      <c r="F27" s="4">
        <f t="shared" si="0"/>
        <v>5</v>
      </c>
      <c r="G27" s="4"/>
    </row>
    <row r="28" spans="1:7" ht="18.75">
      <c r="A28" s="1" t="s">
        <v>52</v>
      </c>
      <c r="B28" s="2" t="s">
        <v>53</v>
      </c>
      <c r="C28" s="3"/>
      <c r="D28" s="4"/>
      <c r="E28" s="4"/>
      <c r="F28" s="4"/>
      <c r="G28" s="4"/>
    </row>
    <row r="29" spans="1:7" ht="18.75">
      <c r="A29" s="3">
        <v>1</v>
      </c>
      <c r="B29" s="5" t="s">
        <v>54</v>
      </c>
      <c r="C29" s="3" t="s">
        <v>55</v>
      </c>
      <c r="D29" s="4">
        <v>0.1</v>
      </c>
      <c r="E29" s="4">
        <v>0.1</v>
      </c>
      <c r="F29" s="4">
        <f t="shared" si="0"/>
        <v>0.2</v>
      </c>
      <c r="G29" s="4"/>
    </row>
  </sheetData>
  <mergeCells count="5">
    <mergeCell ref="A1:A2"/>
    <mergeCell ref="B1:B2"/>
    <mergeCell ref="C1:C2"/>
    <mergeCell ref="D1:F1"/>
    <mergeCell ref="G1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73341-358E-4E08-B0AC-7C6EA0655E0C}">
  <dimension ref="A1:H28"/>
  <sheetViews>
    <sheetView zoomScale="85" zoomScaleNormal="85" workbookViewId="0">
      <selection activeCell="I56" sqref="I56"/>
    </sheetView>
  </sheetViews>
  <sheetFormatPr defaultRowHeight="15"/>
  <cols>
    <col min="2" max="2" width="24.5703125" customWidth="1"/>
  </cols>
  <sheetData>
    <row r="1" spans="1:8" ht="18.75">
      <c r="A1" s="18" t="s">
        <v>2</v>
      </c>
      <c r="B1" s="18" t="s">
        <v>56</v>
      </c>
      <c r="C1" s="18" t="s">
        <v>14</v>
      </c>
      <c r="D1" s="18" t="s">
        <v>57</v>
      </c>
      <c r="E1" s="18" t="s">
        <v>58</v>
      </c>
      <c r="F1" s="18" t="s">
        <v>59</v>
      </c>
      <c r="G1" s="16" t="s">
        <v>60</v>
      </c>
      <c r="H1" s="17"/>
    </row>
    <row r="2" spans="1:8" ht="37.5">
      <c r="A2" s="19"/>
      <c r="B2" s="19"/>
      <c r="C2" s="19"/>
      <c r="D2" s="19"/>
      <c r="E2" s="19"/>
      <c r="F2" s="19"/>
      <c r="G2" s="6" t="s">
        <v>11</v>
      </c>
      <c r="H2" s="6" t="s">
        <v>12</v>
      </c>
    </row>
    <row r="3" spans="1:8" ht="18.75">
      <c r="A3" s="6" t="s">
        <v>4</v>
      </c>
      <c r="B3" s="7" t="s">
        <v>8</v>
      </c>
      <c r="C3" s="8"/>
      <c r="D3" s="8"/>
      <c r="E3" s="8"/>
      <c r="F3" s="8"/>
      <c r="G3" s="8"/>
      <c r="H3" s="8"/>
    </row>
    <row r="4" spans="1:8" ht="18.75">
      <c r="A4" s="8">
        <v>1</v>
      </c>
      <c r="B4" s="9" t="s">
        <v>61</v>
      </c>
      <c r="C4" s="8" t="s">
        <v>62</v>
      </c>
      <c r="D4" s="8">
        <f>F4+G4+H4</f>
        <v>2.2000000000000002</v>
      </c>
      <c r="E4" s="4">
        <v>1.45</v>
      </c>
      <c r="F4" s="4">
        <v>1.2</v>
      </c>
      <c r="G4" s="4"/>
      <c r="H4" s="4">
        <v>1</v>
      </c>
    </row>
    <row r="5" spans="1:8" ht="18.75">
      <c r="A5" s="8">
        <v>2</v>
      </c>
      <c r="B5" s="9" t="s">
        <v>63</v>
      </c>
      <c r="C5" s="8" t="s">
        <v>62</v>
      </c>
      <c r="D5" s="8">
        <f>F5+G5+H5</f>
        <v>1.7</v>
      </c>
      <c r="E5" s="4">
        <v>1.45</v>
      </c>
      <c r="F5" s="4">
        <v>0.7</v>
      </c>
      <c r="G5" s="4"/>
      <c r="H5" s="4">
        <v>1</v>
      </c>
    </row>
    <row r="6" spans="1:8" ht="18.75">
      <c r="A6" s="8">
        <v>3</v>
      </c>
      <c r="B6" s="9" t="s">
        <v>64</v>
      </c>
      <c r="C6" s="8" t="s">
        <v>62</v>
      </c>
      <c r="D6" s="8">
        <f>F6+G6+H6</f>
        <v>1.7</v>
      </c>
      <c r="E6" s="4">
        <v>1.45</v>
      </c>
      <c r="F6" s="4">
        <v>0.7</v>
      </c>
      <c r="G6" s="4"/>
      <c r="H6" s="4">
        <v>1</v>
      </c>
    </row>
    <row r="7" spans="1:8" ht="18.75">
      <c r="A7" s="8">
        <v>4</v>
      </c>
      <c r="B7" s="9" t="s">
        <v>65</v>
      </c>
      <c r="C7" s="8" t="s">
        <v>62</v>
      </c>
      <c r="D7" s="8">
        <f>F7+G7+H7</f>
        <v>2.2999999999999998</v>
      </c>
      <c r="E7" s="4">
        <v>1.75</v>
      </c>
      <c r="F7" s="4">
        <v>0.8</v>
      </c>
      <c r="G7" s="4"/>
      <c r="H7" s="4">
        <v>1.5</v>
      </c>
    </row>
    <row r="8" spans="1:8" ht="18.75">
      <c r="A8" s="8">
        <v>5</v>
      </c>
      <c r="B8" s="9" t="s">
        <v>66</v>
      </c>
      <c r="C8" s="8" t="s">
        <v>62</v>
      </c>
      <c r="D8" s="8">
        <f>F8+G8+H8</f>
        <v>1.35</v>
      </c>
      <c r="E8" s="4">
        <v>1</v>
      </c>
      <c r="F8" s="4">
        <v>0.1</v>
      </c>
      <c r="G8" s="4"/>
      <c r="H8" s="4">
        <v>1.25</v>
      </c>
    </row>
    <row r="9" spans="1:8" ht="18.75">
      <c r="A9" s="8">
        <v>6</v>
      </c>
      <c r="B9" s="9" t="s">
        <v>67</v>
      </c>
      <c r="C9" s="8" t="s">
        <v>62</v>
      </c>
      <c r="D9" s="8">
        <f>F9+G9+H9</f>
        <v>1.5</v>
      </c>
      <c r="E9" s="4">
        <v>1.1499999999999999</v>
      </c>
      <c r="F9" s="4">
        <v>0.25</v>
      </c>
      <c r="G9" s="4"/>
      <c r="H9" s="4">
        <v>1.25</v>
      </c>
    </row>
    <row r="10" spans="1:8" ht="18.75">
      <c r="A10" s="8">
        <v>7</v>
      </c>
      <c r="B10" s="9" t="s">
        <v>68</v>
      </c>
      <c r="C10" s="8" t="s">
        <v>62</v>
      </c>
      <c r="D10" s="8">
        <f>F10+G10+H10</f>
        <v>1.5</v>
      </c>
      <c r="E10" s="4">
        <v>1.1499999999999999</v>
      </c>
      <c r="F10" s="4">
        <v>0.25</v>
      </c>
      <c r="G10" s="4"/>
      <c r="H10" s="4">
        <v>1.25</v>
      </c>
    </row>
    <row r="11" spans="1:8" ht="18.75">
      <c r="A11" s="8">
        <v>8</v>
      </c>
      <c r="B11" s="9" t="s">
        <v>25</v>
      </c>
      <c r="C11" s="8" t="s">
        <v>62</v>
      </c>
      <c r="D11" s="8">
        <f>F11+G11+H11</f>
        <v>1.35</v>
      </c>
      <c r="E11" s="4">
        <v>1.1499999999999999</v>
      </c>
      <c r="F11" s="4">
        <v>0.35</v>
      </c>
      <c r="G11" s="4"/>
      <c r="H11" s="4">
        <v>1</v>
      </c>
    </row>
    <row r="12" spans="1:8" ht="18.75">
      <c r="A12" s="8">
        <v>9</v>
      </c>
      <c r="B12" s="9" t="s">
        <v>24</v>
      </c>
      <c r="C12" s="8" t="s">
        <v>62</v>
      </c>
      <c r="D12" s="8">
        <f>F12+G12+H12</f>
        <v>1.78</v>
      </c>
      <c r="E12" s="4">
        <v>1.45</v>
      </c>
      <c r="F12" s="4">
        <v>0.53</v>
      </c>
      <c r="G12" s="4"/>
      <c r="H12" s="4">
        <v>1.25</v>
      </c>
    </row>
    <row r="13" spans="1:8" ht="18.75">
      <c r="A13" s="8">
        <v>10</v>
      </c>
      <c r="B13" s="9" t="s">
        <v>0</v>
      </c>
      <c r="C13" s="8" t="s">
        <v>69</v>
      </c>
      <c r="D13" s="8">
        <f>F13+G13+H13</f>
        <v>1.5</v>
      </c>
      <c r="E13" s="4">
        <v>1.5</v>
      </c>
      <c r="F13" s="4">
        <v>1</v>
      </c>
      <c r="G13" s="4"/>
      <c r="H13" s="4">
        <v>0.5</v>
      </c>
    </row>
    <row r="14" spans="1:8" ht="18.75">
      <c r="A14" s="6" t="s">
        <v>5</v>
      </c>
      <c r="B14" s="7" t="s">
        <v>10</v>
      </c>
      <c r="C14" s="8"/>
      <c r="D14" s="8">
        <f>F14+G14+H14</f>
        <v>0</v>
      </c>
      <c r="E14" s="4"/>
      <c r="F14" s="4"/>
      <c r="G14" s="4"/>
      <c r="H14" s="4"/>
    </row>
    <row r="15" spans="1:8" ht="18.75">
      <c r="A15" s="6" t="s">
        <v>31</v>
      </c>
      <c r="B15" s="7" t="s">
        <v>32</v>
      </c>
      <c r="C15" s="8"/>
      <c r="D15" s="8"/>
      <c r="E15" s="4"/>
      <c r="F15" s="4"/>
      <c r="G15" s="4"/>
      <c r="H15" s="4"/>
    </row>
    <row r="16" spans="1:8" ht="18.75">
      <c r="A16" s="8">
        <v>1</v>
      </c>
      <c r="B16" s="9" t="s">
        <v>70</v>
      </c>
      <c r="C16" s="8" t="s">
        <v>51</v>
      </c>
      <c r="D16" s="8">
        <f>F16+G16+H16</f>
        <v>19</v>
      </c>
      <c r="E16" s="4">
        <v>7</v>
      </c>
      <c r="F16" s="4">
        <v>5</v>
      </c>
      <c r="G16" s="4">
        <v>5</v>
      </c>
      <c r="H16" s="4">
        <v>9</v>
      </c>
    </row>
    <row r="17" spans="1:8" ht="18.75">
      <c r="A17" s="8">
        <v>2</v>
      </c>
      <c r="B17" s="9" t="s">
        <v>35</v>
      </c>
      <c r="C17" s="8" t="s">
        <v>51</v>
      </c>
      <c r="D17" s="8">
        <f>F17+G17+H17</f>
        <v>4</v>
      </c>
      <c r="E17" s="4">
        <v>3</v>
      </c>
      <c r="F17" s="4">
        <v>2</v>
      </c>
      <c r="G17" s="4">
        <v>0</v>
      </c>
      <c r="H17" s="4">
        <v>2</v>
      </c>
    </row>
    <row r="18" spans="1:8" ht="18.75">
      <c r="A18" s="8">
        <v>3</v>
      </c>
      <c r="B18" s="9" t="s">
        <v>71</v>
      </c>
      <c r="C18" s="8" t="s">
        <v>3</v>
      </c>
      <c r="D18" s="8">
        <f>F18+G18+H18</f>
        <v>22</v>
      </c>
      <c r="E18" s="4">
        <v>13</v>
      </c>
      <c r="F18" s="4">
        <v>8</v>
      </c>
      <c r="G18" s="4"/>
      <c r="H18" s="4">
        <v>14</v>
      </c>
    </row>
    <row r="19" spans="1:8" ht="18.75">
      <c r="A19" s="8">
        <v>4</v>
      </c>
      <c r="B19" s="9" t="s">
        <v>72</v>
      </c>
      <c r="C19" s="8" t="s">
        <v>3</v>
      </c>
      <c r="D19" s="8">
        <f>F19+G19+H19</f>
        <v>105</v>
      </c>
      <c r="E19" s="4">
        <v>105</v>
      </c>
      <c r="F19" s="4">
        <v>100</v>
      </c>
      <c r="G19" s="4"/>
      <c r="H19" s="4">
        <v>5</v>
      </c>
    </row>
    <row r="20" spans="1:8" ht="18.75">
      <c r="A20" s="8">
        <v>5</v>
      </c>
      <c r="B20" s="9" t="s">
        <v>73</v>
      </c>
      <c r="C20" s="8" t="s">
        <v>22</v>
      </c>
      <c r="D20" s="8">
        <f>F20+G20+H20</f>
        <v>105</v>
      </c>
      <c r="E20" s="4">
        <v>105</v>
      </c>
      <c r="F20" s="4">
        <v>100</v>
      </c>
      <c r="G20" s="4"/>
      <c r="H20" s="4">
        <v>5</v>
      </c>
    </row>
    <row r="21" spans="1:8" ht="18.75">
      <c r="A21" s="6" t="s">
        <v>40</v>
      </c>
      <c r="B21" s="7" t="s">
        <v>41</v>
      </c>
      <c r="C21" s="8"/>
      <c r="D21" s="8"/>
      <c r="E21" s="4"/>
      <c r="F21" s="4"/>
      <c r="G21" s="4"/>
      <c r="H21" s="4"/>
    </row>
    <row r="22" spans="1:8" ht="18.75">
      <c r="A22" s="8">
        <v>7</v>
      </c>
      <c r="B22" s="9" t="s">
        <v>42</v>
      </c>
      <c r="C22" s="8" t="s">
        <v>43</v>
      </c>
      <c r="D22" s="8">
        <f>F22+G22+H22</f>
        <v>14</v>
      </c>
      <c r="E22" s="4">
        <v>4</v>
      </c>
      <c r="F22" s="4">
        <v>2</v>
      </c>
      <c r="G22" s="4"/>
      <c r="H22" s="4">
        <v>12</v>
      </c>
    </row>
    <row r="23" spans="1:8" ht="18.75">
      <c r="A23" s="8">
        <v>8</v>
      </c>
      <c r="B23" s="9" t="s">
        <v>44</v>
      </c>
      <c r="C23" s="8" t="s">
        <v>22</v>
      </c>
      <c r="D23" s="8">
        <f>F23+G23+H23</f>
        <v>32</v>
      </c>
      <c r="E23" s="4">
        <v>18</v>
      </c>
      <c r="F23" s="4">
        <v>8</v>
      </c>
      <c r="G23" s="4"/>
      <c r="H23" s="4">
        <v>24</v>
      </c>
    </row>
    <row r="24" spans="1:8" ht="18.75">
      <c r="A24" s="8">
        <v>9</v>
      </c>
      <c r="B24" s="9" t="s">
        <v>45</v>
      </c>
      <c r="C24" s="8" t="s">
        <v>22</v>
      </c>
      <c r="D24" s="8">
        <f>F24+G24+H24</f>
        <v>43</v>
      </c>
      <c r="E24" s="4">
        <v>24</v>
      </c>
      <c r="F24" s="4">
        <v>10</v>
      </c>
      <c r="G24" s="4"/>
      <c r="H24" s="4">
        <v>33</v>
      </c>
    </row>
    <row r="25" spans="1:8" ht="18.75">
      <c r="A25" s="8">
        <v>10</v>
      </c>
      <c r="B25" s="9" t="s">
        <v>46</v>
      </c>
      <c r="C25" s="8" t="s">
        <v>74</v>
      </c>
      <c r="D25" s="8">
        <f>F25+G25+H25</f>
        <v>3</v>
      </c>
      <c r="E25" s="4">
        <v>2</v>
      </c>
      <c r="F25" s="4">
        <v>2</v>
      </c>
      <c r="G25" s="4"/>
      <c r="H25" s="4">
        <v>1</v>
      </c>
    </row>
    <row r="26" spans="1:8" ht="18.75">
      <c r="A26" s="6" t="s">
        <v>40</v>
      </c>
      <c r="B26" s="7" t="s">
        <v>75</v>
      </c>
      <c r="C26" s="8"/>
      <c r="D26" s="8"/>
      <c r="E26" s="4"/>
      <c r="F26" s="4"/>
      <c r="G26" s="4"/>
      <c r="H26" s="4"/>
    </row>
    <row r="27" spans="1:8" ht="18.75">
      <c r="A27" s="8">
        <v>12</v>
      </c>
      <c r="B27" s="9" t="s">
        <v>50</v>
      </c>
      <c r="C27" s="8" t="s">
        <v>51</v>
      </c>
      <c r="D27" s="8">
        <f>F27+G27+H27</f>
        <v>19</v>
      </c>
      <c r="E27" s="4">
        <v>7</v>
      </c>
      <c r="F27" s="4">
        <v>5</v>
      </c>
      <c r="G27" s="4">
        <v>5</v>
      </c>
      <c r="H27" s="4">
        <v>9</v>
      </c>
    </row>
    <row r="28" spans="1:8" ht="18.75">
      <c r="A28" s="6" t="s">
        <v>52</v>
      </c>
      <c r="B28" s="7" t="s">
        <v>76</v>
      </c>
      <c r="C28" s="8" t="s">
        <v>55</v>
      </c>
      <c r="D28" s="8">
        <f>F28+G28+H28</f>
        <v>1.1000000000000001</v>
      </c>
      <c r="E28" s="4">
        <v>1</v>
      </c>
      <c r="F28" s="4">
        <v>0.5</v>
      </c>
      <c r="G28" s="4">
        <v>0.1</v>
      </c>
      <c r="H28" s="4">
        <v>0.5</v>
      </c>
    </row>
  </sheetData>
  <mergeCells count="7">
    <mergeCell ref="G1:H1"/>
    <mergeCell ref="A1:A2"/>
    <mergeCell ref="B1:B2"/>
    <mergeCell ref="C1:C2"/>
    <mergeCell ref="D1:D2"/>
    <mergeCell ref="E1:E2"/>
    <mergeCell ref="F1:F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1F223-0C6D-4F39-9B4C-A9EA28CB4875}">
  <dimension ref="A2:H12"/>
  <sheetViews>
    <sheetView tabSelected="1" workbookViewId="0">
      <selection activeCell="B21" sqref="B21"/>
    </sheetView>
  </sheetViews>
  <sheetFormatPr defaultRowHeight="15"/>
  <cols>
    <col min="1" max="1" width="6.7109375" customWidth="1"/>
    <col min="2" max="2" width="51.85546875" customWidth="1"/>
  </cols>
  <sheetData>
    <row r="2" spans="1:8" ht="18.75">
      <c r="A2" s="10" t="s">
        <v>77</v>
      </c>
      <c r="B2" s="10"/>
      <c r="C2" s="11"/>
      <c r="D2" s="12"/>
      <c r="E2" s="12"/>
      <c r="F2" s="12"/>
      <c r="G2" s="12"/>
      <c r="H2" s="12"/>
    </row>
    <row r="3" spans="1:8" ht="24.75" customHeight="1">
      <c r="A3" s="13"/>
      <c r="B3" s="14" t="s">
        <v>78</v>
      </c>
      <c r="C3" s="12">
        <v>20</v>
      </c>
      <c r="D3" s="12"/>
      <c r="E3" s="12"/>
      <c r="F3" s="12"/>
      <c r="G3" s="12"/>
      <c r="H3" s="12"/>
    </row>
    <row r="4" spans="1:8" ht="22.5" customHeight="1">
      <c r="A4" s="13"/>
      <c r="B4" s="14" t="s">
        <v>79</v>
      </c>
      <c r="C4" s="12"/>
      <c r="D4" s="12"/>
      <c r="E4" s="12"/>
      <c r="F4" s="12"/>
      <c r="G4" s="12"/>
      <c r="H4" s="12"/>
    </row>
    <row r="5" spans="1:8" ht="28.5" customHeight="1">
      <c r="A5" s="13"/>
      <c r="B5" s="14" t="s">
        <v>80</v>
      </c>
      <c r="C5" s="12">
        <v>8</v>
      </c>
      <c r="D5" s="12"/>
      <c r="E5" s="12"/>
      <c r="F5" s="12"/>
      <c r="G5" s="12"/>
      <c r="H5" s="12"/>
    </row>
    <row r="6" spans="1:8" ht="24" customHeight="1">
      <c r="A6" s="13"/>
      <c r="B6" s="14" t="s">
        <v>81</v>
      </c>
      <c r="C6" s="12">
        <v>50</v>
      </c>
      <c r="D6" s="12"/>
      <c r="E6" s="12"/>
      <c r="F6" s="12"/>
      <c r="G6" s="12"/>
      <c r="H6" s="12"/>
    </row>
    <row r="7" spans="1:8" ht="21" customHeight="1">
      <c r="A7" s="13"/>
      <c r="B7" s="14" t="s">
        <v>82</v>
      </c>
      <c r="C7" s="12">
        <v>1.5</v>
      </c>
      <c r="D7" s="12"/>
      <c r="E7" s="12"/>
      <c r="F7" s="12"/>
      <c r="G7" s="12"/>
      <c r="H7" s="12"/>
    </row>
    <row r="8" spans="1:8" ht="18.75">
      <c r="A8" s="10" t="s">
        <v>83</v>
      </c>
      <c r="B8" s="13"/>
      <c r="C8" s="12"/>
      <c r="D8" s="12"/>
      <c r="E8" s="12"/>
      <c r="F8" s="12"/>
      <c r="G8" s="12"/>
      <c r="H8" s="12"/>
    </row>
    <row r="9" spans="1:8" ht="15" customHeight="1">
      <c r="A9" s="13"/>
      <c r="B9" s="14" t="s">
        <v>6</v>
      </c>
      <c r="C9" s="12">
        <v>8</v>
      </c>
      <c r="D9" s="12"/>
      <c r="E9" s="12"/>
      <c r="F9" s="12"/>
      <c r="G9" s="12"/>
      <c r="H9" s="12"/>
    </row>
    <row r="10" spans="1:8" ht="20.25" customHeight="1">
      <c r="A10" s="13"/>
      <c r="B10" s="14" t="s">
        <v>7</v>
      </c>
      <c r="C10" s="12">
        <v>7.5</v>
      </c>
      <c r="D10" s="12"/>
      <c r="E10" s="12"/>
      <c r="F10" s="12"/>
      <c r="G10" s="12"/>
      <c r="H10" s="12"/>
    </row>
    <row r="11" spans="1:8" ht="21.75" customHeight="1">
      <c r="A11" s="13"/>
      <c r="B11" s="14" t="s">
        <v>84</v>
      </c>
      <c r="C11" s="12">
        <v>9</v>
      </c>
      <c r="D11" s="12"/>
      <c r="E11" s="12"/>
      <c r="F11" s="12"/>
      <c r="G11" s="12"/>
      <c r="H11" s="12"/>
    </row>
    <row r="12" spans="1:8" ht="23.25" customHeight="1">
      <c r="A12" s="13"/>
      <c r="B12" s="14" t="s">
        <v>85</v>
      </c>
      <c r="C12" s="12">
        <v>2</v>
      </c>
      <c r="D12" s="12"/>
      <c r="E12" s="12"/>
      <c r="F12" s="12"/>
      <c r="G12" s="12"/>
      <c r="H12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3</vt:i4>
      </vt:variant>
    </vt:vector>
  </HeadingPairs>
  <TitlesOfParts>
    <vt:vector size="3" baseType="lpstr">
      <vt:lpstr>TinhHinhVc</vt:lpstr>
      <vt:lpstr>ChiLenhHCKT</vt:lpstr>
      <vt:lpstr>KeHoachDuKien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2026-03-05T14:11:15Z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