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denew\Resources\Sheet\"/>
    </mc:Choice>
  </mc:AlternateContent>
  <xr:revisionPtr revIDLastSave="0" documentId="13_ncr:1_{A8B065D0-6FC8-46FF-80D3-13890BDA015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KeHoachBaoDamQuanY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2" l="1"/>
  <c r="M7" i="12"/>
  <c r="M8" i="12"/>
  <c r="M9" i="12"/>
  <c r="M10" i="12"/>
  <c r="L6" i="12"/>
  <c r="L7" i="12"/>
  <c r="L8" i="12"/>
  <c r="L9" i="12"/>
  <c r="L10" i="12"/>
  <c r="K6" i="12"/>
  <c r="K7" i="12"/>
  <c r="K8" i="12"/>
  <c r="K9" i="12"/>
  <c r="K10" i="12"/>
  <c r="J6" i="12"/>
  <c r="J7" i="12"/>
  <c r="J8" i="12"/>
  <c r="J9" i="12"/>
  <c r="J10" i="12"/>
  <c r="I6" i="12"/>
  <c r="I7" i="12"/>
  <c r="I8" i="12"/>
  <c r="I9" i="12"/>
  <c r="I10" i="12"/>
  <c r="M5" i="12"/>
  <c r="L5" i="12"/>
  <c r="K5" i="12"/>
  <c r="J5" i="12"/>
  <c r="I5" i="12"/>
  <c r="G6" i="12"/>
  <c r="G7" i="12"/>
  <c r="G8" i="12"/>
  <c r="G9" i="12"/>
  <c r="G10" i="12"/>
  <c r="G5" i="12"/>
  <c r="E9" i="12"/>
  <c r="E6" i="12"/>
  <c r="E7" i="12"/>
  <c r="E8" i="12"/>
  <c r="E10" i="12"/>
  <c r="E5" i="12"/>
  <c r="C10" i="12"/>
  <c r="D9" i="12" l="1"/>
</calcChain>
</file>

<file path=xl/sharedStrings.xml><?xml version="1.0" encoding="utf-8"?>
<sst xmlns="http://schemas.openxmlformats.org/spreadsheetml/2006/main" count="29" uniqueCount="22">
  <si>
    <t>%QS</t>
  </si>
  <si>
    <t>-</t>
  </si>
  <si>
    <t>TT</t>
  </si>
  <si>
    <t>Nội dung</t>
  </si>
  <si>
    <t>Quân số</t>
  </si>
  <si>
    <t>Dự kiến tỷ lệ TBB</t>
  </si>
  <si>
    <t>Phân bổ chuyển thương</t>
  </si>
  <si>
    <t>TB</t>
  </si>
  <si>
    <t>BB</t>
  </si>
  <si>
    <t>+</t>
  </si>
  <si>
    <t>Cáng bộ</t>
  </si>
  <si>
    <t>Tự đi</t>
  </si>
  <si>
    <t>Tổng</t>
  </si>
  <si>
    <t>Số người</t>
  </si>
  <si>
    <t>TBHH</t>
  </si>
  <si>
    <t>Người</t>
  </si>
  <si>
    <t>Toàn trận</t>
  </si>
  <si>
    <t>Hướng chủ yếu</t>
  </si>
  <si>
    <t>Hướng thứ yếu</t>
  </si>
  <si>
    <t>Phòng ngự phía sau</t>
  </si>
  <si>
    <t>LL còn lại</t>
  </si>
  <si>
    <t>Ngày cao nhất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</si>
</sst>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0" fillId="4" borderId="1" xfId="0" applyFill="1" applyBorder="1"/>
    <xf numFmtId="0" fontId="3" fillId="3" borderId="2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5F80-CC1F-4AFA-9FAB-E49B7233EB8A}">
  <dimension ref="A1:M10"/>
  <sheetViews>
    <sheetView tabSelected="1" workbookViewId="0">
      <selection activeCell="H20" sqref="H20"/>
    </sheetView>
  </sheetViews>
  <sheetFormatPr defaultRowHeight="15"/>
  <sheetData>
    <row r="1" spans="1:13">
      <c r="A1" s="6" t="s">
        <v>2</v>
      </c>
      <c r="B1" s="6" t="s">
        <v>3</v>
      </c>
      <c r="C1" s="6" t="s">
        <v>4</v>
      </c>
      <c r="D1" s="9" t="s">
        <v>5</v>
      </c>
      <c r="E1" s="10"/>
      <c r="F1" s="10"/>
      <c r="G1" s="10"/>
      <c r="H1" s="10"/>
      <c r="I1" s="10"/>
      <c r="J1" s="11"/>
      <c r="K1" s="12" t="s">
        <v>6</v>
      </c>
      <c r="L1" s="13"/>
      <c r="M1" s="14"/>
    </row>
    <row r="2" spans="1:13">
      <c r="A2" s="7"/>
      <c r="B2" s="7"/>
      <c r="C2" s="7"/>
      <c r="D2" s="9" t="s">
        <v>7</v>
      </c>
      <c r="E2" s="10"/>
      <c r="F2" s="10"/>
      <c r="G2" s="11"/>
      <c r="H2" s="9" t="s">
        <v>8</v>
      </c>
      <c r="I2" s="11"/>
      <c r="J2" s="6" t="s">
        <v>9</v>
      </c>
      <c r="K2" s="15" t="s">
        <v>10</v>
      </c>
      <c r="L2" s="15" t="s">
        <v>11</v>
      </c>
      <c r="M2" s="15" t="s">
        <v>12</v>
      </c>
    </row>
    <row r="3" spans="1:13">
      <c r="A3" s="7"/>
      <c r="B3" s="7"/>
      <c r="C3" s="7"/>
      <c r="D3" s="6" t="s">
        <v>0</v>
      </c>
      <c r="E3" s="6" t="s">
        <v>13</v>
      </c>
      <c r="F3" s="9" t="s">
        <v>14</v>
      </c>
      <c r="G3" s="11"/>
      <c r="H3" s="6" t="s">
        <v>0</v>
      </c>
      <c r="I3" s="6" t="s">
        <v>13</v>
      </c>
      <c r="J3" s="8"/>
      <c r="K3" s="16"/>
      <c r="L3" s="16"/>
      <c r="M3" s="16"/>
    </row>
    <row r="4" spans="1:13">
      <c r="A4" s="8"/>
      <c r="B4" s="8"/>
      <c r="C4" s="8"/>
      <c r="D4" s="8"/>
      <c r="E4" s="8"/>
      <c r="F4" s="2" t="s">
        <v>0</v>
      </c>
      <c r="G4" s="2" t="s">
        <v>13</v>
      </c>
      <c r="H4" s="8"/>
      <c r="I4" s="8"/>
      <c r="J4" s="2" t="s">
        <v>15</v>
      </c>
      <c r="K4" s="17"/>
      <c r="L4" s="17"/>
      <c r="M4" s="17"/>
    </row>
    <row r="5" spans="1:13">
      <c r="A5" s="3">
        <v>1</v>
      </c>
      <c r="B5" s="3" t="s">
        <v>16</v>
      </c>
      <c r="C5" s="1">
        <v>-1</v>
      </c>
      <c r="D5" s="4"/>
      <c r="E5" s="1">
        <f>ROUND(C5*D5/100,0)</f>
        <v>0</v>
      </c>
      <c r="F5" s="4"/>
      <c r="G5" s="1">
        <f>ROUND(E5*F5/100,0)</f>
        <v>0</v>
      </c>
      <c r="H5" s="4"/>
      <c r="I5" s="1">
        <f>ROUND(H5*C5/100,0)</f>
        <v>0</v>
      </c>
      <c r="J5" s="1">
        <f>ROUND(E5+I5,0)</f>
        <v>0</v>
      </c>
      <c r="K5" s="5">
        <f>ROUNDUP(J5/2,0)</f>
        <v>0</v>
      </c>
      <c r="L5" s="5">
        <f>J5-K5</f>
        <v>0</v>
      </c>
      <c r="M5" s="5">
        <f>J5</f>
        <v>0</v>
      </c>
    </row>
    <row r="6" spans="1:13" ht="24">
      <c r="A6" s="3" t="s">
        <v>1</v>
      </c>
      <c r="B6" s="3" t="s">
        <v>17</v>
      </c>
      <c r="C6" s="1">
        <v>-1</v>
      </c>
      <c r="D6" s="4"/>
      <c r="E6" s="1">
        <f t="shared" ref="E6:E10" si="0">ROUND(C6*D6/100,0)</f>
        <v>0</v>
      </c>
      <c r="F6" s="4"/>
      <c r="G6" s="1">
        <f t="shared" ref="G6:G10" si="1">ROUND(E6*F6/100,0)</f>
        <v>0</v>
      </c>
      <c r="H6" s="4"/>
      <c r="I6" s="1">
        <f t="shared" ref="I6:I10" si="2">ROUND(H6*C6/100,0)</f>
        <v>0</v>
      </c>
      <c r="J6" s="1">
        <f t="shared" ref="J6:J10" si="3">ROUND(E6+I6,0)</f>
        <v>0</v>
      </c>
      <c r="K6" s="5">
        <f t="shared" ref="K6:K10" si="4">ROUNDUP(J6/2,0)</f>
        <v>0</v>
      </c>
      <c r="L6" s="5">
        <f t="shared" ref="L6:L10" si="5">J6-K6</f>
        <v>0</v>
      </c>
      <c r="M6" s="5">
        <f t="shared" ref="M6:M10" si="6">J6</f>
        <v>0</v>
      </c>
    </row>
    <row r="7" spans="1:13" ht="24">
      <c r="A7" s="3" t="s">
        <v>1</v>
      </c>
      <c r="B7" s="3" t="s">
        <v>18</v>
      </c>
      <c r="C7" s="1">
        <v>-1</v>
      </c>
      <c r="D7" s="4"/>
      <c r="E7" s="1">
        <f t="shared" si="0"/>
        <v>0</v>
      </c>
      <c r="F7" s="4"/>
      <c r="G7" s="1">
        <f t="shared" si="1"/>
        <v>0</v>
      </c>
      <c r="H7" s="4"/>
      <c r="I7" s="1">
        <f t="shared" si="2"/>
        <v>0</v>
      </c>
      <c r="J7" s="1">
        <f t="shared" si="3"/>
        <v>0</v>
      </c>
      <c r="K7" s="5">
        <f t="shared" si="4"/>
        <v>0</v>
      </c>
      <c r="L7" s="5">
        <f t="shared" si="5"/>
        <v>0</v>
      </c>
      <c r="M7" s="5">
        <f t="shared" si="6"/>
        <v>0</v>
      </c>
    </row>
    <row r="8" spans="1:13" ht="24">
      <c r="A8" s="3" t="s">
        <v>1</v>
      </c>
      <c r="B8" s="3" t="s">
        <v>19</v>
      </c>
      <c r="C8" s="1">
        <v>-1</v>
      </c>
      <c r="D8" s="4"/>
      <c r="E8" s="1">
        <f t="shared" si="0"/>
        <v>0</v>
      </c>
      <c r="F8" s="4"/>
      <c r="G8" s="1">
        <f t="shared" si="1"/>
        <v>0</v>
      </c>
      <c r="H8" s="4"/>
      <c r="I8" s="1">
        <f t="shared" si="2"/>
        <v>0</v>
      </c>
      <c r="J8" s="1">
        <f t="shared" si="3"/>
        <v>0</v>
      </c>
      <c r="K8" s="5">
        <f t="shared" si="4"/>
        <v>0</v>
      </c>
      <c r="L8" s="5">
        <f t="shared" si="5"/>
        <v>0</v>
      </c>
      <c r="M8" s="5">
        <f t="shared" si="6"/>
        <v>0</v>
      </c>
    </row>
    <row r="9" spans="1:13">
      <c r="A9" s="3" t="s">
        <v>1</v>
      </c>
      <c r="B9" s="3" t="s">
        <v>20</v>
      </c>
      <c r="C9" s="1">
        <v>-1</v>
      </c>
      <c r="D9" s="1">
        <f>ROUND(E9/C9*100,1)</f>
        <v>0</v>
      </c>
      <c r="E9" s="1">
        <f>E5-E6-E7-E8</f>
        <v>0</v>
      </c>
      <c r="F9" s="4"/>
      <c r="G9" s="1">
        <f t="shared" si="1"/>
        <v>0</v>
      </c>
      <c r="H9" s="4"/>
      <c r="I9" s="1">
        <f t="shared" si="2"/>
        <v>0</v>
      </c>
      <c r="J9" s="1">
        <f t="shared" si="3"/>
        <v>0</v>
      </c>
      <c r="K9" s="5">
        <f t="shared" si="4"/>
        <v>0</v>
      </c>
      <c r="L9" s="5">
        <f t="shared" si="5"/>
        <v>0</v>
      </c>
      <c r="M9" s="5">
        <f t="shared" si="6"/>
        <v>0</v>
      </c>
    </row>
    <row r="10" spans="1:13" ht="24">
      <c r="A10" s="3">
        <v>2</v>
      </c>
      <c r="B10" s="3" t="s">
        <v>21</v>
      </c>
      <c r="C10" s="1">
        <f>C5</f>
        <v>-1</v>
      </c>
      <c r="D10" s="1"/>
      <c r="E10" s="1">
        <f t="shared" si="0"/>
        <v>0</v>
      </c>
      <c r="F10" s="4"/>
      <c r="G10" s="1">
        <f t="shared" si="1"/>
        <v>0</v>
      </c>
      <c r="H10" s="4"/>
      <c r="I10" s="1">
        <f t="shared" si="2"/>
        <v>0</v>
      </c>
      <c r="J10" s="1">
        <f t="shared" si="3"/>
        <v>0</v>
      </c>
      <c r="K10" s="5">
        <f t="shared" si="4"/>
        <v>0</v>
      </c>
      <c r="L10" s="5">
        <f t="shared" si="5"/>
        <v>0</v>
      </c>
      <c r="M10" s="5">
        <f t="shared" si="6"/>
        <v>0</v>
      </c>
    </row>
  </sheetData>
  <mergeCells count="16">
    <mergeCell ref="M2:M4"/>
    <mergeCell ref="D3:D4"/>
    <mergeCell ref="E3:E4"/>
    <mergeCell ref="F3:G3"/>
    <mergeCell ref="H3:H4"/>
    <mergeCell ref="I3:I4"/>
    <mergeCell ref="A1:A4"/>
    <mergeCell ref="B1:B4"/>
    <mergeCell ref="C1:C4"/>
    <mergeCell ref="D1:J1"/>
    <mergeCell ref="K1:M1"/>
    <mergeCell ref="D2:G2"/>
    <mergeCell ref="H2:I2"/>
    <mergeCell ref="J2:J3"/>
    <mergeCell ref="K2:K4"/>
    <mergeCell ref="L2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KeHoachBaoDamQuanY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Thế Nguyên</dc:creator>
  <cp:lastModifiedBy>Nguyen Thi Thanh Huyen</cp:lastModifiedBy>
  <dcterms:created xsi:type="dcterms:W3CDTF">2025-12-02T15:26:00Z</dcterms:created>
  <dcterms:modified xsi:type="dcterms:W3CDTF">2026-03-11T12:01:00Z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EA5910DF0ACF4499B29763509B539F6C_12</vt:lpwstr>
  </property>
  <property fmtid="{D5CDD505-2E9C-101B-9397-08002B2CF9AE}" pid="3" name="KSOProductBuildVer">
    <vt:lpwstr>1033-12.2.0.23196</vt:lpwstr>
  </property>
</Properties>
</file>