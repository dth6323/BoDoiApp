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new\Resources\Sheet\"/>
    </mc:Choice>
  </mc:AlternateContent>
  <xr:revisionPtr revIDLastSave="0" documentId="13_ncr:1_{091637AF-8BF7-4620-8A82-97A4352D29D6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QSTBKT" sheetId="10" r:id="rId1"/>
    <sheet name="ChiLenhHCKT" sheetId="9" r:id="rId2"/>
    <sheet name="PhanCapVCHC" sheetId="11" r:id="rId3"/>
    <sheet name="TinhHinhVC" sheetId="13" r:id="rId4"/>
    <sheet name="VCHCVTKT" sheetId="1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5" l="1"/>
  <c r="U9" i="15" s="1"/>
  <c r="Q9" i="15"/>
  <c r="N9" i="15"/>
  <c r="L9" i="15"/>
  <c r="K9" i="15"/>
  <c r="J9" i="15"/>
  <c r="I9" i="15"/>
  <c r="H9" i="15"/>
  <c r="G9" i="15"/>
  <c r="F9" i="15"/>
  <c r="E9" i="15"/>
  <c r="D9" i="15"/>
  <c r="T9" i="15"/>
  <c r="V9" i="15" l="1"/>
  <c r="W9" i="15"/>
  <c r="C9" i="15"/>
  <c r="X9" i="15"/>
  <c r="S9" i="15"/>
  <c r="F30" i="13"/>
  <c r="F28" i="13"/>
  <c r="F26" i="13"/>
  <c r="F25" i="13"/>
  <c r="F24" i="13"/>
  <c r="F23" i="13"/>
  <c r="F21" i="13"/>
  <c r="F20" i="13"/>
  <c r="F19" i="13"/>
  <c r="F18" i="13"/>
  <c r="F17" i="13"/>
  <c r="F14" i="13"/>
  <c r="F13" i="13"/>
  <c r="F11" i="13"/>
  <c r="F10" i="13"/>
  <c r="F9" i="13"/>
  <c r="F8" i="13"/>
  <c r="F7" i="13"/>
  <c r="F6" i="13"/>
  <c r="F5" i="13"/>
  <c r="I18" i="11"/>
  <c r="F18" i="11"/>
  <c r="I17" i="11"/>
  <c r="G17" i="11" s="1"/>
  <c r="F17" i="11"/>
  <c r="D17" i="11" s="1"/>
  <c r="I15" i="11"/>
  <c r="F15" i="11"/>
  <c r="I14" i="11"/>
  <c r="F14" i="11"/>
  <c r="D14" i="11" s="1"/>
  <c r="I13" i="11"/>
  <c r="F13" i="11"/>
  <c r="D13" i="11" s="1"/>
  <c r="I12" i="11"/>
  <c r="G12" i="11" s="1"/>
  <c r="F12" i="11"/>
  <c r="D12" i="11" s="1"/>
  <c r="I10" i="11"/>
  <c r="F10" i="11"/>
  <c r="I9" i="11"/>
  <c r="F9" i="11"/>
  <c r="I8" i="11"/>
  <c r="F8" i="11"/>
  <c r="I7" i="11"/>
  <c r="G7" i="11" s="1"/>
  <c r="F7" i="11"/>
  <c r="D7" i="11" s="1"/>
  <c r="I6" i="11"/>
  <c r="F6" i="11"/>
  <c r="D6" i="11" s="1"/>
  <c r="G18" i="11"/>
  <c r="D18" i="11"/>
  <c r="G15" i="11"/>
  <c r="D15" i="11"/>
  <c r="G14" i="11"/>
  <c r="G13" i="11"/>
  <c r="G10" i="11"/>
  <c r="D10" i="11"/>
  <c r="G9" i="11"/>
  <c r="D9" i="11"/>
  <c r="G8" i="11"/>
  <c r="D8" i="11"/>
  <c r="G6" i="11"/>
  <c r="I81" i="10"/>
  <c r="C81" i="10"/>
  <c r="B8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O68" i="10"/>
  <c r="O81" i="10" s="1"/>
  <c r="N68" i="10"/>
  <c r="N81" i="10" s="1"/>
  <c r="M68" i="10"/>
  <c r="M81" i="10" s="1"/>
  <c r="L68" i="10"/>
  <c r="L81" i="10" s="1"/>
  <c r="K68" i="10"/>
  <c r="K81" i="10" s="1"/>
  <c r="J68" i="10"/>
  <c r="J81" i="10" s="1"/>
  <c r="I68" i="10"/>
  <c r="H68" i="10"/>
  <c r="H81" i="10" s="1"/>
  <c r="G68" i="10"/>
  <c r="G81" i="10" s="1"/>
  <c r="F68" i="10"/>
  <c r="F81" i="10" s="1"/>
  <c r="E68" i="10"/>
  <c r="E81" i="10" s="1"/>
  <c r="D68" i="10"/>
  <c r="D81" i="10" s="1"/>
  <c r="C68" i="10"/>
  <c r="B68" i="10"/>
  <c r="D62" i="10"/>
  <c r="C62" i="10"/>
  <c r="B62" i="10"/>
  <c r="O59" i="10"/>
  <c r="O62" i="10" s="1"/>
  <c r="N59" i="10"/>
  <c r="N62" i="10" s="1"/>
  <c r="M59" i="10"/>
  <c r="M62" i="10" s="1"/>
  <c r="L59" i="10"/>
  <c r="L62" i="10" s="1"/>
  <c r="K59" i="10"/>
  <c r="I59" i="10"/>
  <c r="H59" i="10"/>
  <c r="G59" i="10"/>
  <c r="F59" i="10"/>
  <c r="E59" i="10"/>
  <c r="D59" i="10"/>
  <c r="C59" i="10"/>
  <c r="B59" i="10"/>
  <c r="O57" i="10"/>
  <c r="N57" i="10"/>
  <c r="M57" i="10"/>
  <c r="L57" i="10"/>
  <c r="K57" i="10"/>
  <c r="K62" i="10" s="1"/>
  <c r="J57" i="10"/>
  <c r="J62" i="10" s="1"/>
  <c r="I57" i="10"/>
  <c r="I62" i="10" s="1"/>
  <c r="H57" i="10"/>
  <c r="H62" i="10" s="1"/>
  <c r="G57" i="10"/>
  <c r="G62" i="10" s="1"/>
  <c r="F57" i="10"/>
  <c r="F62" i="10" s="1"/>
  <c r="E57" i="10"/>
  <c r="E62" i="10" s="1"/>
  <c r="D57" i="10"/>
  <c r="C57" i="10"/>
  <c r="B57" i="10"/>
  <c r="L51" i="10"/>
  <c r="K51" i="10"/>
  <c r="J51" i="10"/>
  <c r="I51" i="10"/>
  <c r="H51" i="10"/>
  <c r="G51" i="10"/>
  <c r="F51" i="10"/>
  <c r="E51" i="10"/>
  <c r="D51" i="10"/>
  <c r="C51" i="10"/>
  <c r="B51" i="10"/>
  <c r="O44" i="10"/>
  <c r="O51" i="10" s="1"/>
  <c r="N44" i="10"/>
  <c r="N51" i="10" s="1"/>
  <c r="M44" i="10"/>
  <c r="M51" i="10" s="1"/>
  <c r="L44" i="10"/>
  <c r="K44" i="10"/>
  <c r="J44" i="10"/>
  <c r="I44" i="10"/>
  <c r="H44" i="10"/>
  <c r="G44" i="10"/>
  <c r="F44" i="10"/>
  <c r="E44" i="10"/>
  <c r="D44" i="10"/>
  <c r="C44" i="10"/>
  <c r="B44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O36" i="10"/>
  <c r="N36" i="10"/>
  <c r="M36" i="10"/>
  <c r="L36" i="10"/>
  <c r="J36" i="10"/>
  <c r="I36" i="10"/>
  <c r="G36" i="10"/>
  <c r="F36" i="10"/>
  <c r="E36" i="10"/>
  <c r="D36" i="10"/>
  <c r="C36" i="10"/>
  <c r="B36" i="10"/>
  <c r="H31" i="10"/>
  <c r="H27" i="10" s="1"/>
  <c r="H36" i="10" s="1"/>
  <c r="O27" i="10"/>
  <c r="N27" i="10"/>
  <c r="M27" i="10"/>
  <c r="L27" i="10"/>
  <c r="K27" i="10"/>
  <c r="K36" i="10" s="1"/>
  <c r="J27" i="10"/>
  <c r="I27" i="10"/>
  <c r="G27" i="10"/>
  <c r="F27" i="10"/>
  <c r="E27" i="10"/>
  <c r="D27" i="10"/>
  <c r="C27" i="10"/>
  <c r="B27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C19" i="10" s="1"/>
  <c r="B8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B19" i="10" s="1"/>
  <c r="D29" i="9" l="1"/>
  <c r="D28" i="9"/>
  <c r="D26" i="9"/>
  <c r="D25" i="9"/>
  <c r="D24" i="9"/>
  <c r="D23" i="9"/>
  <c r="D21" i="9"/>
  <c r="D20" i="9"/>
  <c r="D19" i="9"/>
  <c r="D18" i="9"/>
  <c r="D17" i="9"/>
  <c r="D15" i="9"/>
  <c r="D14" i="9"/>
  <c r="D13" i="9"/>
  <c r="D12" i="9"/>
  <c r="D11" i="9"/>
  <c r="D10" i="9"/>
  <c r="D9" i="9"/>
  <c r="D8" i="9"/>
  <c r="D7" i="9"/>
  <c r="D6" i="9"/>
  <c r="D5" i="9"/>
</calcChain>
</file>

<file path=xl/sharedStrings.xml><?xml version="1.0" encoding="utf-8"?>
<sst xmlns="http://schemas.openxmlformats.org/spreadsheetml/2006/main" count="351" uniqueCount="162">
  <si>
    <t>Lựu đạn</t>
  </si>
  <si>
    <t>TT</t>
  </si>
  <si>
    <t>%QS</t>
  </si>
  <si>
    <t>1. Quy định dự trữ, tiêu thụ, bổ sung vật chất</t>
  </si>
  <si>
    <t>Đạn, vật chất hậu cần, vật tư kỹ thuật</t>
  </si>
  <si>
    <t>ĐVT</t>
  </si>
  <si>
    <t>Quy định dự trữ</t>
  </si>
  <si>
    <t>Phải có 04.00-N</t>
  </si>
  <si>
    <t>Phải có SCĐ</t>
  </si>
  <si>
    <t>Tiêu thụ</t>
  </si>
  <si>
    <t>GĐCB</t>
  </si>
  <si>
    <t>GĐCĐ</t>
  </si>
  <si>
    <t>I</t>
  </si>
  <si>
    <t>Đạn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</si>
  <si>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</si>
  <si>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</si>
  <si>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</si>
  <si>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</si>
  <si>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</si>
  <si>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</si>
  <si>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</si>
  <si>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</si>
  <si>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Đạn SPG-9</t>
  </si>
  <si>
    <t>Đạn B41</t>
  </si>
  <si>
    <t>Quả</t>
  </si>
  <si>
    <t>II</t>
  </si>
  <si>
    <t>Vật chất hậu cần</t>
  </si>
  <si>
    <t>A</t>
  </si>
  <si>
    <t>Quân nhu</t>
  </si>
  <si>
    <t>LTTP</t>
  </si>
  <si>
    <t>Ngày</t>
  </si>
  <si>
    <t>Lương khô</t>
  </si>
  <si>
    <t>ĐSTB</t>
  </si>
  <si>
    <t>QLCĐ</t>
  </si>
  <si>
    <t>QTCĐ</t>
  </si>
  <si>
    <t>,,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</si>
  <si>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</si>
  <si>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</si>
  <si>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</si>
  <si>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</si>
  <si>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</si>
  <si>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</si>
  <si>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</si>
  <si>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</t>
  </si>
  <si>
    <t>Doanh Trại</t>
  </si>
  <si>
    <t>Dầu thắp</t>
  </si>
  <si>
    <t>III</t>
  </si>
  <si>
    <t>Vật tư kỹ thuật</t>
  </si>
  <si>
    <t>Tấn</t>
  </si>
  <si>
    <t>TỔ CHỨC BIÊN CHẾ, TRANG BỊ TIỂU ĐOÀN BỘ BINH PHÒNG NGỰ BỜ BIỂN</t>
  </si>
  <si>
    <t>LỰC LƯỢNG</t>
  </si>
  <si>
    <t>QUÂN SỐ</t>
  </si>
  <si>
    <t>TRANG BỊ KỸ THUẬT</t>
  </si>
  <si>
    <t>VẬT TỰ KỸ THUẬT</t>
  </si>
  <si>
    <t>Vũ khí bộ binh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</si>
  <si>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</si>
  <si>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</si>
  <si>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</si>
  <si>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</si>
  <si>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</si>
  <si>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</si>
  <si>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</si>
  <si>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</si>
  <si>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</si>
  <si>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</si>
  <si>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</si>
  <si>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</si>
  <si>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</si>
  <si>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</si>
  <si>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</si>
  <si>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</si>
  <si>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</si>
  <si>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</si>
  <si>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</si>
  <si>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bHH/f</t>
  </si>
  <si>
    <t>1 c CB(-)/e</t>
  </si>
  <si>
    <t>1 tổ SC/e</t>
  </si>
  <si>
    <t>cBB7/dBB2</t>
  </si>
  <si>
    <t>Tổng</t>
  </si>
  <si>
    <t>TỔ CHỨC BIÊN CHẾ, TRANG BỊ HƯỚNG CHỦ YẾU</t>
  </si>
  <si>
    <t>cBB1</t>
  </si>
  <si>
    <t>2. LL tăng cường</t>
  </si>
  <si>
    <t>1 b SPG-9/e</t>
  </si>
  <si>
    <t>cCo82(-)/d</t>
  </si>
  <si>
    <t>b SMPK 12,7mm/e</t>
  </si>
  <si>
    <t>cBB2 (-)</t>
  </si>
  <si>
    <t>Y tá/d</t>
  </si>
  <si>
    <t>Nuôi quân/d</t>
  </si>
  <si>
    <t>a VTB</t>
  </si>
  <si>
    <t>TỔ CHỨC BIÊN CHẾ, TRANG BỊ HƯỚNG THỨ YẾU</t>
  </si>
  <si>
    <t>cBB7</t>
  </si>
  <si>
    <t>1bSPG9/d</t>
  </si>
  <si>
    <t>1bCo82/d</t>
  </si>
  <si>
    <t>1bSMPK12,7</t>
  </si>
  <si>
    <t>Nuôi quân</t>
  </si>
  <si>
    <t>TỔ CHỨC BIÊN CHẾ, TRANG BỊ LỰC LƯỢNG PHÒNG NGỰ PHÍA SAU</t>
  </si>
  <si>
    <t>cBB3</t>
  </si>
  <si>
    <t xml:space="preserve">Nuôi quân </t>
  </si>
  <si>
    <t>TỔ CHỨC BIÊN CHẾ, TRANG BỊ LỰC LƯỢNG CÒN LẠI</t>
  </si>
  <si>
    <t>Lực lượng còn lại</t>
  </si>
  <si>
    <t>2. Lực lượng tăng cường</t>
  </si>
  <si>
    <t>1cCo100mm/e</t>
  </si>
  <si>
    <t>1cSPG-9/e</t>
  </si>
  <si>
    <t>1cSMPK12,7mm/e</t>
  </si>
  <si>
    <t>1cCB(-)/e</t>
  </si>
  <si>
    <t>1bHH/f</t>
  </si>
  <si>
    <t>1bVTB/e</t>
  </si>
  <si>
    <t>2. Phân cấp một số loại vật chất hậu cần chủ yếu</t>
  </si>
  <si>
    <t>Loại Vật chất</t>
  </si>
  <si>
    <t>Phải có 04.00N</t>
  </si>
  <si>
    <t>Phải có sau chiến đấu</t>
  </si>
  <si>
    <t>Kho d</t>
  </si>
  <si>
    <t>Đơn vị</t>
  </si>
  <si>
    <t>Gạo, thực phẩm</t>
  </si>
  <si>
    <t>Ngày ăn</t>
  </si>
  <si>
    <t>Đường sữa thương binh</t>
  </si>
  <si>
    <t>Quân lương chiến đấu</t>
  </si>
  <si>
    <t>Quân trang chiến đấu</t>
  </si>
  <si>
    <t>C/người</t>
  </si>
  <si>
    <t>Doanh trại</t>
  </si>
  <si>
    <t>II.</t>
  </si>
  <si>
    <t>Hiện có</t>
  </si>
  <si>
    <t>Kho/d</t>
  </si>
  <si>
    <t>+</t>
  </si>
  <si>
    <t>Tình hình đạn, VCHC, VTKT</t>
  </si>
  <si>
    <t>Loại vật chất</t>
  </si>
  <si>
    <t>Ghi chú</t>
  </si>
  <si>
    <t>ĐẠN</t>
  </si>
  <si>
    <t>Đạn K51 (súng ngắn)</t>
  </si>
  <si>
    <t>CS/k</t>
  </si>
  <si>
    <t>Đạn K56 (súng TL, Tr.L)</t>
  </si>
  <si>
    <t>Đạn K53 (súng ĐL)</t>
  </si>
  <si>
    <t>Đạn Co60 mm</t>
  </si>
  <si>
    <t>Đạn Co82 mm</t>
  </si>
  <si>
    <t>Đạn Co100 mm</t>
  </si>
  <si>
    <t>Đạn SMPK 12,7</t>
  </si>
  <si>
    <t>VẬT CHẤT HẬU CẦN</t>
  </si>
  <si>
    <t>Lương thực, thực phẩm</t>
  </si>
  <si>
    <t>Đường sữa thương binh</t>
  </si>
  <si>
    <t>% QS</t>
  </si>
  <si>
    <t>C</t>
  </si>
  <si>
    <t>VẬT TƯ KỸ THUẬT</t>
  </si>
  <si>
    <t>Vật tư quân khí</t>
  </si>
  <si>
    <t>Tỷ lệ TBBB</t>
  </si>
  <si>
    <t>Chỉ tiêu</t>
  </si>
  <si>
    <t>TL ĐVT</t>
  </si>
  <si>
    <t>TL ĐVT (d)</t>
  </si>
  <si>
    <t>TL ĐVT (PT)</t>
  </si>
  <si>
    <t>Quy định dự trữ, tiêu thụ</t>
  </si>
  <si>
    <t>PC TQĐ</t>
  </si>
  <si>
    <t>Bổ sung</t>
  </si>
  <si>
    <t>Kế hoạch tiếp nhận, bảo đảm</t>
  </si>
  <si>
    <t>PC SCĐ</t>
  </si>
  <si>
    <t>ĐV</t>
  </si>
  <si>
    <t>Thời gian</t>
  </si>
  <si>
    <t>Địa điểm</t>
  </si>
  <si>
    <t>Phương thức</t>
  </si>
  <si>
    <t>Trách nhiệm vận chuyển</t>
  </si>
  <si>
    <t>d</t>
  </si>
  <si>
    <t>PT</t>
  </si>
  <si>
    <t>Quy định, phân cấp dự trữ vật chất hậu cần, vật tư kỹ thuật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</si>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</sst>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b/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center" wrapText="1"/>
    </xf>
    <xf numFmtId="0" fontId="12" fillId="0" borderId="1" xfId="0" applyFont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justify" vertical="center" wrapText="1"/>
    </xf>
    <xf numFmtId="0" fontId="13" fillId="0" borderId="0" xfId="0" applyFont="1" applyAlignment="1">
      <alignment vertical="center" wrapText="1"/>
    </xf>
    <xf numFmtId="0" fontId="6" fillId="0" borderId="1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justify" vertical="center" wrapText="1"/>
    </xf>
    <xf numFmtId="0" fontId="14" fillId="6" borderId="1" xfId="0" applyFont="1" applyFill="1" applyBorder="1" applyAlignment="1">
      <alignment vertical="center"/>
    </xf>
    <xf numFmtId="0" fontId="14" fillId="6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1" xfId="0" applyFont="1" applyBorder="1"/>
    <xf numFmtId="0" fontId="15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6" fillId="0" borderId="0" xfId="0" applyFont="1"/>
    <xf numFmtId="0" fontId="3" fillId="7" borderId="6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justify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1" fontId="19" fillId="0" borderId="1" xfId="0" applyNumberFormat="1" applyFont="1" applyBorder="1" applyAlignment="1">
      <alignment horizontal="center" vertical="center"/>
    </xf>
    <xf numFmtId="1" fontId="19" fillId="4" borderId="1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" fontId="19" fillId="8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 wrapText="1"/>
    </xf>
    <xf numFmtId="2" fontId="19" fillId="9" borderId="1" xfId="0" applyNumberFormat="1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2" fontId="19" fillId="9" borderId="1" xfId="0" applyNumberFormat="1" applyFont="1" applyFill="1" applyBorder="1" applyAlignment="1">
      <alignment vertical="center"/>
    </xf>
    <xf numFmtId="0" fontId="19" fillId="9" borderId="1" xfId="0" quotePrefix="1" applyFont="1" applyFill="1" applyBorder="1" applyAlignment="1">
      <alignment horizontal="center" vertical="center"/>
    </xf>
    <xf numFmtId="0" fontId="19" fillId="9" borderId="1" xfId="0" applyFont="1" applyFill="1" applyBorder="1"/>
    <xf numFmtId="2" fontId="19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vertical="center"/>
    </xf>
    <xf numFmtId="0" fontId="19" fillId="10" borderId="1" xfId="0" applyFont="1" applyFill="1" applyBorder="1" applyAlignment="1">
      <alignment horizontal="center" vertical="center"/>
    </xf>
    <xf numFmtId="2" fontId="19" fillId="10" borderId="1" xfId="0" applyNumberFormat="1" applyFont="1" applyFill="1" applyBorder="1" applyAlignment="1">
      <alignment vertical="center"/>
    </xf>
    <xf numFmtId="0" fontId="19" fillId="10" borderId="1" xfId="0" quotePrefix="1" applyFont="1" applyFill="1" applyBorder="1" applyAlignment="1">
      <alignment horizontal="center" vertical="center"/>
    </xf>
    <xf numFmtId="0" fontId="19" fillId="10" borderId="1" xfId="0" applyFont="1" applyFill="1" applyBorder="1"/>
    <xf numFmtId="0" fontId="19" fillId="10" borderId="0" xfId="0" applyFont="1" applyFill="1"/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vertical="center"/>
    </xf>
    <xf numFmtId="165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164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1" fontId="19" fillId="2" borderId="1" xfId="0" applyNumberFormat="1" applyFont="1" applyFill="1" applyBorder="1" applyAlignment="1">
      <alignment horizontal="center" vertical="center"/>
    </xf>
    <xf numFmtId="2" fontId="19" fillId="2" borderId="1" xfId="0" applyNumberFormat="1" applyFont="1" applyFill="1" applyBorder="1" applyAlignment="1">
      <alignment vertical="center"/>
    </xf>
    <xf numFmtId="2" fontId="19" fillId="2" borderId="1" xfId="0" applyNumberFormat="1" applyFont="1" applyFill="1" applyBorder="1" applyAlignment="1">
      <alignment horizontal="center" vertical="center"/>
    </xf>
    <xf numFmtId="1" fontId="19" fillId="2" borderId="1" xfId="0" quotePrefix="1" applyNumberFormat="1" applyFont="1" applyFill="1" applyBorder="1" applyAlignment="1">
      <alignment horizontal="center" vertical="center"/>
    </xf>
    <xf numFmtId="0" fontId="19" fillId="2" borderId="1" xfId="0" applyFont="1" applyFill="1" applyBorder="1"/>
    <xf numFmtId="164" fontId="19" fillId="2" borderId="1" xfId="0" applyNumberFormat="1" applyFont="1" applyFill="1" applyBorder="1" applyAlignment="1">
      <alignment horizontal="center" vertical="center"/>
    </xf>
    <xf numFmtId="1" fontId="19" fillId="8" borderId="1" xfId="0" quotePrefix="1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vertical="center"/>
    </xf>
    <xf numFmtId="0" fontId="19" fillId="8" borderId="1" xfId="0" applyFont="1" applyFill="1" applyBorder="1" applyAlignment="1">
      <alignment horizontal="center" vertical="center"/>
    </xf>
    <xf numFmtId="2" fontId="19" fillId="8" borderId="1" xfId="0" applyNumberFormat="1" applyFont="1" applyFill="1" applyBorder="1" applyAlignment="1">
      <alignment vertical="center"/>
    </xf>
    <xf numFmtId="2" fontId="19" fillId="8" borderId="1" xfId="0" applyNumberFormat="1" applyFont="1" applyFill="1" applyBorder="1" applyAlignment="1">
      <alignment horizontal="center" vertical="center"/>
    </xf>
    <xf numFmtId="0" fontId="19" fillId="8" borderId="1" xfId="0" quotePrefix="1" applyFont="1" applyFill="1" applyBorder="1" applyAlignment="1">
      <alignment horizontal="center" vertical="center"/>
    </xf>
    <xf numFmtId="0" fontId="19" fillId="8" borderId="1" xfId="0" applyFont="1" applyFill="1" applyBorder="1"/>
    <xf numFmtId="1" fontId="19" fillId="9" borderId="1" xfId="0" quotePrefix="1" applyNumberFormat="1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vertical="center"/>
    </xf>
    <xf numFmtId="1" fontId="19" fillId="9" borderId="1" xfId="0" applyNumberFormat="1" applyFont="1" applyFill="1" applyBorder="1" applyAlignment="1">
      <alignment horizontal="center" vertical="center"/>
    </xf>
    <xf numFmtId="1" fontId="19" fillId="10" borderId="1" xfId="0" quotePrefix="1" applyNumberFormat="1" applyFont="1" applyFill="1" applyBorder="1" applyAlignment="1">
      <alignment horizontal="center" vertical="center"/>
    </xf>
    <xf numFmtId="1" fontId="19" fillId="10" borderId="1" xfId="0" applyNumberFormat="1" applyFont="1" applyFill="1" applyBorder="1" applyAlignment="1">
      <alignment horizontal="center" vertical="center"/>
    </xf>
    <xf numFmtId="1" fontId="19" fillId="7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quotePrefix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2" fontId="19" fillId="0" borderId="1" xfId="0" applyNumberFormat="1" applyFont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19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 textRotation="90"/>
    </xf>
    <xf numFmtId="0" fontId="11" fillId="0" borderId="0" xfId="0" quotePrefix="1" applyFont="1" applyAlignment="1">
      <alignment vertical="center" textRotation="90"/>
    </xf>
    <xf numFmtId="2" fontId="19" fillId="9" borderId="1" xfId="0" quotePrefix="1" applyNumberFormat="1" applyFont="1" applyFill="1" applyBorder="1" applyAlignment="1">
      <alignment horizontal="center" vertical="center"/>
    </xf>
    <xf numFmtId="166" fontId="19" fillId="9" borderId="1" xfId="0" applyNumberFormat="1" applyFont="1" applyFill="1" applyBorder="1" applyAlignment="1">
      <alignment horizontal="center" vertical="center"/>
    </xf>
    <xf numFmtId="165" fontId="19" fillId="10" borderId="1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2" fontId="19" fillId="10" borderId="1" xfId="0" quotePrefix="1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2" fontId="19" fillId="7" borderId="1" xfId="0" quotePrefix="1" applyNumberFormat="1" applyFont="1" applyFill="1" applyBorder="1" applyAlignment="1">
      <alignment horizontal="center" vertical="center"/>
    </xf>
    <xf numFmtId="0" fontId="2" fillId="0" borderId="0" xfId="0" applyFont="1"/>
    <xf numFmtId="0" fontId="21" fillId="2" borderId="1" xfId="0" applyFont="1" applyFill="1" applyBorder="1" applyAlignment="1">
      <alignment horizontal="center" vertical="center"/>
    </xf>
    <xf numFmtId="2" fontId="21" fillId="2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2" fontId="21" fillId="2" borderId="1" xfId="0" applyNumberFormat="1" applyFont="1" applyFill="1" applyBorder="1" applyAlignment="1">
      <alignment vertical="center"/>
    </xf>
    <xf numFmtId="2" fontId="21" fillId="4" borderId="1" xfId="0" applyNumberFormat="1" applyFont="1" applyFill="1" applyBorder="1" applyAlignment="1">
      <alignment horizontal="center" vertical="center"/>
    </xf>
    <xf numFmtId="164" fontId="21" fillId="2" borderId="1" xfId="0" applyNumberFormat="1" applyFont="1" applyFill="1" applyBorder="1" applyAlignment="1">
      <alignment horizontal="center" vertical="center"/>
    </xf>
    <xf numFmtId="1" fontId="21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1" fontId="21" fillId="0" borderId="1" xfId="0" applyNumberFormat="1" applyFont="1" applyBorder="1" applyAlignment="1">
      <alignment horizontal="center" vertical="center"/>
    </xf>
    <xf numFmtId="2" fontId="21" fillId="2" borderId="1" xfId="0" quotePrefix="1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2" borderId="19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19" fillId="2" borderId="8" xfId="0" quotePrefix="1" applyFont="1" applyFill="1" applyBorder="1" applyAlignment="1">
      <alignment horizontal="center" vertical="center" wrapText="1"/>
    </xf>
    <xf numFmtId="0" fontId="19" fillId="2" borderId="15" xfId="0" quotePrefix="1" applyFont="1" applyFill="1" applyBorder="1" applyAlignment="1">
      <alignment horizontal="center" vertical="center" wrapText="1"/>
    </xf>
    <xf numFmtId="0" fontId="19" fillId="2" borderId="21" xfId="0" quotePrefix="1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DC29-4E0B-45C9-9B13-F880900DC666}">
  <dimension ref="A1:AF81"/>
  <sheetViews>
    <sheetView topLeftCell="A11" workbookViewId="0">
      <selection activeCell="S12" sqref="S12"/>
    </sheetView>
  </sheetViews>
  <sheetFormatPr defaultColWidth="9.28515625" defaultRowHeight="18.75"/>
  <cols>
    <col min="1" max="1" width="28.140625" style="9" customWidth="1"/>
    <col min="2" max="2" width="9.28515625" style="9"/>
    <col min="3" max="13" width="8.7109375" style="9" customWidth="1"/>
    <col min="14" max="15" width="9.7109375" style="33" customWidth="1"/>
    <col min="16" max="17" width="9.28515625" style="9"/>
    <col min="18" max="18" width="15.140625" style="9" bestFit="1" customWidth="1"/>
    <col min="19" max="19" width="9.28515625" style="9"/>
    <col min="20" max="20" width="12.5703125" style="9" customWidth="1"/>
    <col min="21" max="16384" width="9.28515625" style="9"/>
  </cols>
  <sheetData>
    <row r="1" spans="1:32">
      <c r="A1" s="127" t="s">
        <v>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</row>
    <row r="2" spans="1:32">
      <c r="A2" s="127"/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</row>
    <row r="3" spans="1:32">
      <c r="A3" s="128" t="s">
        <v>50</v>
      </c>
      <c r="B3" s="128" t="s">
        <v>51</v>
      </c>
      <c r="C3" s="128" t="s">
        <v>52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9" t="s">
        <v>53</v>
      </c>
      <c r="O3" s="129"/>
    </row>
    <row r="4" spans="1:32" ht="33.6" customHeight="1">
      <c r="A4" s="128"/>
      <c r="B4" s="128"/>
      <c r="C4" s="128" t="s">
        <v>54</v>
      </c>
      <c r="D4" s="128"/>
      <c r="E4" s="128"/>
      <c r="F4" s="128"/>
      <c r="G4" s="128"/>
      <c r="H4" s="128" t="s">
        <v>0</v>
      </c>
      <c r="I4" s="128" t="s">
        <v>55</v>
      </c>
      <c r="J4" s="128"/>
      <c r="K4" s="128"/>
      <c r="L4" s="10" t="s">
        <v>56</v>
      </c>
      <c r="M4" s="10" t="s">
        <v>57</v>
      </c>
      <c r="N4" s="11" t="s">
        <v>58</v>
      </c>
      <c r="O4" s="11" t="s">
        <v>59</v>
      </c>
    </row>
    <row r="5" spans="1:32" ht="33">
      <c r="A5" s="128"/>
      <c r="B5" s="128"/>
      <c r="C5" s="10" t="s">
        <v>60</v>
      </c>
      <c r="D5" s="10" t="s">
        <v>61</v>
      </c>
      <c r="E5" s="10" t="s">
        <v>62</v>
      </c>
      <c r="F5" s="10" t="s">
        <v>63</v>
      </c>
      <c r="G5" s="10" t="s">
        <v>64</v>
      </c>
      <c r="H5" s="128"/>
      <c r="I5" s="10">
        <v>60</v>
      </c>
      <c r="J5" s="10">
        <v>82</v>
      </c>
      <c r="K5" s="10">
        <v>100</v>
      </c>
      <c r="L5" s="10" t="s">
        <v>65</v>
      </c>
      <c r="M5" s="10">
        <v>12.7</v>
      </c>
      <c r="N5" s="12"/>
      <c r="O5" s="12"/>
    </row>
    <row r="6" spans="1:32">
      <c r="A6" s="13" t="s">
        <v>66</v>
      </c>
      <c r="B6" s="13">
        <f>B7</f>
        <v>546</v>
      </c>
      <c r="C6" s="13">
        <f t="shared" ref="C6:O6" si="0">C7</f>
        <v>22</v>
      </c>
      <c r="D6" s="13">
        <f t="shared" si="0"/>
        <v>289</v>
      </c>
      <c r="E6" s="13">
        <f t="shared" si="0"/>
        <v>27</v>
      </c>
      <c r="F6" s="13">
        <f t="shared" si="0"/>
        <v>6</v>
      </c>
      <c r="G6" s="13">
        <f t="shared" si="0"/>
        <v>54</v>
      </c>
      <c r="H6" s="13">
        <f t="shared" si="0"/>
        <v>1444</v>
      </c>
      <c r="I6" s="13">
        <f t="shared" si="0"/>
        <v>6</v>
      </c>
      <c r="J6" s="13">
        <f t="shared" si="0"/>
        <v>4</v>
      </c>
      <c r="K6" s="13">
        <f t="shared" si="0"/>
        <v>0</v>
      </c>
      <c r="L6" s="13">
        <f t="shared" si="0"/>
        <v>3</v>
      </c>
      <c r="M6" s="13">
        <f t="shared" si="0"/>
        <v>3</v>
      </c>
      <c r="N6" s="13">
        <f t="shared" si="0"/>
        <v>0</v>
      </c>
      <c r="O6" s="13">
        <f t="shared" si="0"/>
        <v>0</v>
      </c>
    </row>
    <row r="7" spans="1:32" ht="18.95" customHeight="1">
      <c r="A7" s="14" t="s">
        <v>67</v>
      </c>
      <c r="B7" s="5">
        <v>546</v>
      </c>
      <c r="C7" s="5">
        <v>22</v>
      </c>
      <c r="D7" s="5">
        <v>289</v>
      </c>
      <c r="E7" s="5">
        <v>27</v>
      </c>
      <c r="F7" s="5">
        <v>6</v>
      </c>
      <c r="G7" s="5">
        <v>54</v>
      </c>
      <c r="H7" s="5">
        <v>1444</v>
      </c>
      <c r="I7" s="5">
        <v>6</v>
      </c>
      <c r="J7" s="5">
        <v>4</v>
      </c>
      <c r="K7" s="5">
        <v>0</v>
      </c>
      <c r="L7" s="5">
        <v>3</v>
      </c>
      <c r="M7" s="5">
        <v>3</v>
      </c>
      <c r="N7" s="12"/>
      <c r="O7" s="12"/>
    </row>
    <row r="8" spans="1:32">
      <c r="A8" s="13" t="s">
        <v>68</v>
      </c>
      <c r="B8" s="13">
        <f t="shared" ref="B8:N8" si="1">SUM(B9:B17)</f>
        <v>455</v>
      </c>
      <c r="C8" s="13">
        <f t="shared" si="1"/>
        <v>20</v>
      </c>
      <c r="D8" s="13">
        <f t="shared" si="1"/>
        <v>197</v>
      </c>
      <c r="E8" s="13">
        <f t="shared" si="1"/>
        <v>9</v>
      </c>
      <c r="F8" s="13">
        <f t="shared" si="1"/>
        <v>2</v>
      </c>
      <c r="G8" s="13">
        <f t="shared" si="1"/>
        <v>18</v>
      </c>
      <c r="H8" s="13">
        <f t="shared" si="1"/>
        <v>959</v>
      </c>
      <c r="I8" s="13">
        <f t="shared" si="1"/>
        <v>2</v>
      </c>
      <c r="J8" s="13">
        <f t="shared" si="1"/>
        <v>0</v>
      </c>
      <c r="K8" s="13">
        <f t="shared" si="1"/>
        <v>4</v>
      </c>
      <c r="L8" s="13">
        <f t="shared" si="1"/>
        <v>6</v>
      </c>
      <c r="M8" s="13">
        <f t="shared" si="1"/>
        <v>6</v>
      </c>
      <c r="N8" s="13">
        <f t="shared" si="1"/>
        <v>0</v>
      </c>
      <c r="O8" s="13">
        <f t="shared" ref="O8" si="2">SUM(O9:O18)</f>
        <v>0</v>
      </c>
    </row>
    <row r="9" spans="1:32">
      <c r="A9" s="15" t="s">
        <v>69</v>
      </c>
      <c r="B9" s="5">
        <v>74</v>
      </c>
      <c r="C9" s="5">
        <v>4</v>
      </c>
      <c r="D9" s="5">
        <v>30</v>
      </c>
      <c r="E9" s="5"/>
      <c r="F9" s="5"/>
      <c r="G9" s="5"/>
      <c r="H9" s="5">
        <v>139</v>
      </c>
      <c r="I9" s="5"/>
      <c r="J9" s="5"/>
      <c r="K9" s="5">
        <v>4</v>
      </c>
      <c r="L9" s="5"/>
      <c r="M9" s="5"/>
      <c r="N9" s="12"/>
      <c r="O9" s="12"/>
    </row>
    <row r="10" spans="1:32">
      <c r="A10" s="15" t="s">
        <v>70</v>
      </c>
      <c r="B10" s="5">
        <v>69</v>
      </c>
      <c r="C10" s="5">
        <v>4</v>
      </c>
      <c r="D10" s="5">
        <v>26</v>
      </c>
      <c r="E10" s="5"/>
      <c r="F10" s="5"/>
      <c r="G10" s="5"/>
      <c r="H10" s="5">
        <v>130</v>
      </c>
      <c r="I10" s="5"/>
      <c r="J10" s="5"/>
      <c r="K10" s="5"/>
      <c r="L10" s="5">
        <v>6</v>
      </c>
      <c r="M10" s="5"/>
      <c r="N10" s="12"/>
      <c r="O10" s="12"/>
    </row>
    <row r="11" spans="1:32">
      <c r="A11" s="15" t="s">
        <v>71</v>
      </c>
      <c r="B11" s="5">
        <v>82</v>
      </c>
      <c r="C11" s="5">
        <v>4</v>
      </c>
      <c r="D11" s="5">
        <v>26</v>
      </c>
      <c r="E11" s="5"/>
      <c r="F11" s="5"/>
      <c r="G11" s="5"/>
      <c r="H11" s="5">
        <v>156</v>
      </c>
      <c r="I11" s="5"/>
      <c r="J11" s="5"/>
      <c r="K11" s="5"/>
      <c r="L11" s="5"/>
      <c r="M11" s="5">
        <v>6</v>
      </c>
      <c r="N11" s="12"/>
      <c r="O11" s="12"/>
    </row>
    <row r="12" spans="1:32">
      <c r="A12" s="15" t="s">
        <v>72</v>
      </c>
      <c r="B12" s="5">
        <v>28</v>
      </c>
      <c r="C12" s="5"/>
      <c r="D12" s="5">
        <v>10</v>
      </c>
      <c r="E12" s="5"/>
      <c r="F12" s="5"/>
      <c r="G12" s="5"/>
      <c r="H12" s="5">
        <v>56</v>
      </c>
      <c r="I12" s="5"/>
      <c r="J12" s="5"/>
      <c r="K12" s="5"/>
      <c r="L12" s="5"/>
      <c r="M12" s="5"/>
      <c r="N12" s="12"/>
      <c r="O12" s="12"/>
    </row>
    <row r="13" spans="1:32">
      <c r="A13" s="16" t="s">
        <v>73</v>
      </c>
      <c r="B13" s="17">
        <v>3</v>
      </c>
      <c r="C13" s="17"/>
      <c r="D13" s="17">
        <v>3</v>
      </c>
      <c r="E13" s="17"/>
      <c r="F13" s="17"/>
      <c r="G13" s="17"/>
      <c r="H13" s="17">
        <v>6</v>
      </c>
      <c r="I13" s="17"/>
      <c r="J13" s="17"/>
      <c r="K13" s="17"/>
      <c r="L13" s="17"/>
      <c r="M13" s="17"/>
      <c r="N13" s="12"/>
      <c r="O13" s="12"/>
    </row>
    <row r="14" spans="1:32">
      <c r="A14" s="16" t="s">
        <v>74</v>
      </c>
      <c r="B14" s="17">
        <v>19</v>
      </c>
      <c r="C14" s="17"/>
      <c r="D14" s="17">
        <v>10</v>
      </c>
      <c r="E14" s="17"/>
      <c r="F14" s="17"/>
      <c r="G14" s="17"/>
      <c r="H14" s="17">
        <v>50</v>
      </c>
      <c r="I14" s="17"/>
      <c r="J14" s="17"/>
      <c r="K14" s="17"/>
      <c r="L14" s="17"/>
      <c r="M14" s="17"/>
      <c r="N14" s="12"/>
      <c r="O14" s="12"/>
    </row>
    <row r="15" spans="1:32">
      <c r="A15" s="15" t="s">
        <v>75</v>
      </c>
      <c r="B15" s="5">
        <v>66</v>
      </c>
      <c r="C15" s="5">
        <v>4</v>
      </c>
      <c r="D15" s="5">
        <v>23</v>
      </c>
      <c r="E15" s="5"/>
      <c r="F15" s="5"/>
      <c r="G15" s="5"/>
      <c r="H15" s="5">
        <v>70</v>
      </c>
      <c r="I15" s="5"/>
      <c r="J15" s="5"/>
      <c r="K15" s="5"/>
      <c r="L15" s="5"/>
      <c r="M15" s="5"/>
      <c r="N15" s="12"/>
      <c r="O15" s="12"/>
    </row>
    <row r="16" spans="1:32">
      <c r="A16" s="15" t="s">
        <v>76</v>
      </c>
      <c r="B16" s="5">
        <v>3</v>
      </c>
      <c r="C16" s="5"/>
      <c r="D16" s="5">
        <v>1</v>
      </c>
      <c r="E16" s="5"/>
      <c r="F16" s="5"/>
      <c r="G16" s="5"/>
      <c r="H16" s="5">
        <v>6</v>
      </c>
      <c r="I16" s="5"/>
      <c r="J16" s="5"/>
      <c r="K16" s="5"/>
      <c r="L16" s="5"/>
      <c r="M16" s="5"/>
      <c r="N16" s="12"/>
      <c r="O16" s="12"/>
      <c r="Q16" s="18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</row>
    <row r="17" spans="1:32">
      <c r="A17" s="20" t="s">
        <v>77</v>
      </c>
      <c r="B17" s="5">
        <v>111</v>
      </c>
      <c r="C17" s="5">
        <v>4</v>
      </c>
      <c r="D17" s="5">
        <v>68</v>
      </c>
      <c r="E17" s="5">
        <v>9</v>
      </c>
      <c r="F17" s="5">
        <v>2</v>
      </c>
      <c r="G17" s="5">
        <v>18</v>
      </c>
      <c r="H17" s="5">
        <v>346</v>
      </c>
      <c r="I17" s="5">
        <v>2</v>
      </c>
      <c r="J17" s="5">
        <v>0</v>
      </c>
      <c r="K17" s="5">
        <v>0</v>
      </c>
      <c r="L17" s="5">
        <v>0</v>
      </c>
      <c r="M17" s="5">
        <v>0</v>
      </c>
      <c r="N17" s="12"/>
      <c r="O17" s="12"/>
      <c r="Q17" s="21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12"/>
      <c r="O18" s="12"/>
      <c r="Q18" s="25"/>
      <c r="R18" s="26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</row>
    <row r="19" spans="1:32">
      <c r="A19" s="27" t="s">
        <v>78</v>
      </c>
      <c r="B19" s="28">
        <f>B6+B8</f>
        <v>1001</v>
      </c>
      <c r="C19" s="28">
        <f t="shared" ref="C19:O19" si="3">C7+C8</f>
        <v>42</v>
      </c>
      <c r="D19" s="28">
        <f t="shared" si="3"/>
        <v>486</v>
      </c>
      <c r="E19" s="28">
        <f t="shared" si="3"/>
        <v>36</v>
      </c>
      <c r="F19" s="28">
        <f t="shared" si="3"/>
        <v>8</v>
      </c>
      <c r="G19" s="28">
        <f t="shared" si="3"/>
        <v>72</v>
      </c>
      <c r="H19" s="28">
        <f t="shared" si="3"/>
        <v>2403</v>
      </c>
      <c r="I19" s="28">
        <f t="shared" si="3"/>
        <v>8</v>
      </c>
      <c r="J19" s="28">
        <f t="shared" si="3"/>
        <v>4</v>
      </c>
      <c r="K19" s="28">
        <f t="shared" si="3"/>
        <v>4</v>
      </c>
      <c r="L19" s="28">
        <f t="shared" si="3"/>
        <v>9</v>
      </c>
      <c r="M19" s="28">
        <f t="shared" si="3"/>
        <v>9</v>
      </c>
      <c r="N19" s="28">
        <f t="shared" si="3"/>
        <v>0</v>
      </c>
      <c r="O19" s="28">
        <f t="shared" si="3"/>
        <v>0</v>
      </c>
      <c r="Q19" s="25"/>
      <c r="R19" s="26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</row>
    <row r="20" spans="1:32">
      <c r="A20" s="127" t="s">
        <v>79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Q20" s="19"/>
      <c r="R20" s="2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</row>
    <row r="21" spans="1:32" ht="18.399999999999999" customHeight="1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Q21" s="21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>
      <c r="A22" s="128" t="s">
        <v>50</v>
      </c>
      <c r="B22" s="128" t="s">
        <v>51</v>
      </c>
      <c r="C22" s="128" t="s">
        <v>52</v>
      </c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30" t="s">
        <v>53</v>
      </c>
      <c r="O22" s="130"/>
      <c r="Q22" s="21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33">
      <c r="A23" s="128"/>
      <c r="B23" s="128"/>
      <c r="C23" s="128" t="s">
        <v>54</v>
      </c>
      <c r="D23" s="128"/>
      <c r="E23" s="128"/>
      <c r="F23" s="128"/>
      <c r="G23" s="128"/>
      <c r="H23" s="128" t="s">
        <v>0</v>
      </c>
      <c r="I23" s="128" t="s">
        <v>55</v>
      </c>
      <c r="J23" s="128"/>
      <c r="K23" s="128"/>
      <c r="L23" s="10" t="s">
        <v>56</v>
      </c>
      <c r="M23" s="10" t="s">
        <v>57</v>
      </c>
      <c r="N23" s="11" t="s">
        <v>58</v>
      </c>
      <c r="O23" s="11" t="s">
        <v>59</v>
      </c>
    </row>
    <row r="24" spans="1:32" ht="33">
      <c r="A24" s="128"/>
      <c r="B24" s="128"/>
      <c r="C24" s="10" t="s">
        <v>60</v>
      </c>
      <c r="D24" s="10" t="s">
        <v>61</v>
      </c>
      <c r="E24" s="10" t="s">
        <v>62</v>
      </c>
      <c r="F24" s="10" t="s">
        <v>63</v>
      </c>
      <c r="G24" s="10" t="s">
        <v>64</v>
      </c>
      <c r="H24" s="128"/>
      <c r="I24" s="10">
        <v>60</v>
      </c>
      <c r="J24" s="10">
        <v>82</v>
      </c>
      <c r="K24" s="10">
        <v>100</v>
      </c>
      <c r="L24" s="10" t="s">
        <v>65</v>
      </c>
      <c r="M24" s="10">
        <v>12.7</v>
      </c>
      <c r="N24" s="12"/>
      <c r="O24" s="12"/>
    </row>
    <row r="25" spans="1:32">
      <c r="A25" s="13" t="s">
        <v>66</v>
      </c>
      <c r="B25" s="13">
        <f>B26</f>
        <v>111</v>
      </c>
      <c r="C25" s="13">
        <f t="shared" ref="C25:O25" si="4">C26</f>
        <v>4</v>
      </c>
      <c r="D25" s="13">
        <f t="shared" si="4"/>
        <v>68</v>
      </c>
      <c r="E25" s="13">
        <f t="shared" si="4"/>
        <v>9</v>
      </c>
      <c r="F25" s="13">
        <f t="shared" si="4"/>
        <v>2</v>
      </c>
      <c r="G25" s="13">
        <f t="shared" si="4"/>
        <v>18</v>
      </c>
      <c r="H25" s="13">
        <f t="shared" si="4"/>
        <v>346</v>
      </c>
      <c r="I25" s="13">
        <f t="shared" si="4"/>
        <v>2</v>
      </c>
      <c r="J25" s="13">
        <f t="shared" si="4"/>
        <v>0</v>
      </c>
      <c r="K25" s="13">
        <f t="shared" si="4"/>
        <v>0</v>
      </c>
      <c r="L25" s="13">
        <f t="shared" si="4"/>
        <v>0</v>
      </c>
      <c r="M25" s="13">
        <f t="shared" si="4"/>
        <v>0</v>
      </c>
      <c r="N25" s="13">
        <f t="shared" si="4"/>
        <v>0</v>
      </c>
      <c r="O25" s="13">
        <f t="shared" si="4"/>
        <v>0</v>
      </c>
    </row>
    <row r="26" spans="1:32">
      <c r="A26" s="14" t="s">
        <v>80</v>
      </c>
      <c r="B26" s="5">
        <v>111</v>
      </c>
      <c r="C26" s="5">
        <v>4</v>
      </c>
      <c r="D26" s="5">
        <v>68</v>
      </c>
      <c r="E26" s="5">
        <v>9</v>
      </c>
      <c r="F26" s="5">
        <v>2</v>
      </c>
      <c r="G26" s="5">
        <v>18</v>
      </c>
      <c r="H26" s="5">
        <v>346</v>
      </c>
      <c r="I26" s="5">
        <v>2</v>
      </c>
      <c r="J26" s="5">
        <v>0</v>
      </c>
      <c r="K26" s="5">
        <v>0</v>
      </c>
      <c r="L26" s="5">
        <v>0</v>
      </c>
      <c r="M26" s="5">
        <v>0</v>
      </c>
      <c r="N26" s="12"/>
      <c r="O26" s="12"/>
    </row>
    <row r="27" spans="1:32">
      <c r="A27" s="13" t="s">
        <v>81</v>
      </c>
      <c r="B27" s="13">
        <f t="shared" ref="B27:O27" si="5">SUM(B28:B34)</f>
        <v>197</v>
      </c>
      <c r="C27" s="13">
        <f t="shared" si="5"/>
        <v>8</v>
      </c>
      <c r="D27" s="13">
        <f t="shared" si="5"/>
        <v>93</v>
      </c>
      <c r="E27" s="13">
        <f t="shared" si="5"/>
        <v>6</v>
      </c>
      <c r="F27" s="13">
        <f t="shared" si="5"/>
        <v>2</v>
      </c>
      <c r="G27" s="13">
        <f t="shared" si="5"/>
        <v>12</v>
      </c>
      <c r="H27" s="13">
        <f t="shared" si="5"/>
        <v>500</v>
      </c>
      <c r="I27" s="13">
        <f t="shared" si="5"/>
        <v>2</v>
      </c>
      <c r="J27" s="13">
        <f t="shared" si="5"/>
        <v>3</v>
      </c>
      <c r="K27" s="13">
        <f t="shared" si="5"/>
        <v>0</v>
      </c>
      <c r="L27" s="13">
        <f t="shared" si="5"/>
        <v>3</v>
      </c>
      <c r="M27" s="13">
        <f t="shared" si="5"/>
        <v>3</v>
      </c>
      <c r="N27" s="13">
        <f t="shared" si="5"/>
        <v>0</v>
      </c>
      <c r="O27" s="13">
        <f t="shared" si="5"/>
        <v>0</v>
      </c>
    </row>
    <row r="28" spans="1:32">
      <c r="A28" s="15" t="s">
        <v>82</v>
      </c>
      <c r="B28" s="5">
        <v>29</v>
      </c>
      <c r="C28" s="5"/>
      <c r="D28" s="5">
        <v>11</v>
      </c>
      <c r="E28" s="5"/>
      <c r="F28" s="5"/>
      <c r="G28" s="5"/>
      <c r="H28" s="5">
        <v>58</v>
      </c>
      <c r="I28" s="5"/>
      <c r="J28" s="5"/>
      <c r="K28" s="5"/>
      <c r="L28" s="5">
        <v>3</v>
      </c>
      <c r="M28" s="5"/>
      <c r="N28" s="12"/>
      <c r="O28" s="12"/>
    </row>
    <row r="29" spans="1:32">
      <c r="A29" s="15" t="s">
        <v>83</v>
      </c>
      <c r="B29" s="5">
        <v>34</v>
      </c>
      <c r="C29" s="5">
        <v>4</v>
      </c>
      <c r="D29" s="5">
        <v>17</v>
      </c>
      <c r="E29" s="5"/>
      <c r="F29" s="5"/>
      <c r="G29" s="5"/>
      <c r="H29" s="5">
        <v>94</v>
      </c>
      <c r="I29" s="5"/>
      <c r="J29" s="5">
        <v>3</v>
      </c>
      <c r="K29" s="5"/>
      <c r="L29" s="5"/>
      <c r="M29" s="5"/>
      <c r="N29" s="12"/>
      <c r="O29" s="12"/>
    </row>
    <row r="30" spans="1:32">
      <c r="A30" s="15" t="s">
        <v>84</v>
      </c>
      <c r="B30" s="5">
        <v>35</v>
      </c>
      <c r="C30" s="5"/>
      <c r="D30" s="5">
        <v>11</v>
      </c>
      <c r="E30" s="5"/>
      <c r="F30" s="5"/>
      <c r="G30" s="5"/>
      <c r="H30" s="5">
        <v>70</v>
      </c>
      <c r="I30" s="5"/>
      <c r="J30" s="5"/>
      <c r="K30" s="5"/>
      <c r="L30" s="5"/>
      <c r="M30" s="5">
        <v>3</v>
      </c>
      <c r="N30" s="12"/>
      <c r="O30" s="12"/>
    </row>
    <row r="31" spans="1:32">
      <c r="A31" s="15" t="s">
        <v>85</v>
      </c>
      <c r="B31" s="5">
        <v>82</v>
      </c>
      <c r="C31" s="5">
        <v>4</v>
      </c>
      <c r="D31" s="5">
        <v>48</v>
      </c>
      <c r="E31" s="5">
        <v>6</v>
      </c>
      <c r="F31" s="5">
        <v>2</v>
      </c>
      <c r="G31" s="5">
        <v>12</v>
      </c>
      <c r="H31" s="5">
        <f>346-102</f>
        <v>244</v>
      </c>
      <c r="I31" s="5">
        <v>2</v>
      </c>
      <c r="J31" s="5"/>
      <c r="K31" s="5"/>
      <c r="L31" s="5"/>
      <c r="M31" s="5"/>
      <c r="N31" s="12"/>
      <c r="O31" s="12"/>
    </row>
    <row r="32" spans="1:32">
      <c r="A32" s="16" t="s">
        <v>86</v>
      </c>
      <c r="B32" s="17">
        <v>1</v>
      </c>
      <c r="C32" s="17"/>
      <c r="D32" s="17">
        <v>1</v>
      </c>
      <c r="E32" s="17"/>
      <c r="F32" s="17"/>
      <c r="G32" s="17"/>
      <c r="H32" s="17">
        <v>2</v>
      </c>
      <c r="I32" s="17"/>
      <c r="J32" s="17"/>
      <c r="K32" s="17"/>
      <c r="L32" s="17"/>
      <c r="M32" s="17"/>
      <c r="N32" s="12"/>
      <c r="O32" s="12"/>
    </row>
    <row r="33" spans="1:15">
      <c r="A33" s="16" t="s">
        <v>87</v>
      </c>
      <c r="B33" s="17">
        <v>7</v>
      </c>
      <c r="C33" s="17"/>
      <c r="D33" s="17">
        <v>2</v>
      </c>
      <c r="E33" s="17"/>
      <c r="F33" s="17"/>
      <c r="G33" s="17"/>
      <c r="H33" s="17">
        <v>14</v>
      </c>
      <c r="I33" s="17"/>
      <c r="J33" s="17"/>
      <c r="K33" s="17"/>
      <c r="L33" s="17"/>
      <c r="M33" s="17"/>
      <c r="N33" s="12"/>
      <c r="O33" s="12"/>
    </row>
    <row r="34" spans="1:15">
      <c r="A34" s="15" t="s">
        <v>88</v>
      </c>
      <c r="B34" s="5">
        <v>9</v>
      </c>
      <c r="C34" s="5"/>
      <c r="D34" s="5">
        <v>3</v>
      </c>
      <c r="E34" s="5"/>
      <c r="F34" s="5"/>
      <c r="G34" s="5"/>
      <c r="H34" s="5">
        <v>18</v>
      </c>
      <c r="I34" s="5"/>
      <c r="J34" s="5"/>
      <c r="K34" s="5"/>
      <c r="L34" s="5"/>
      <c r="M34" s="5"/>
      <c r="N34" s="12"/>
      <c r="O34" s="12"/>
    </row>
    <row r="36" spans="1:15">
      <c r="A36" s="27" t="s">
        <v>78</v>
      </c>
      <c r="B36" s="28">
        <f>B25+B27</f>
        <v>308</v>
      </c>
      <c r="C36" s="28">
        <f t="shared" ref="C36:O36" si="6">C26+C27</f>
        <v>12</v>
      </c>
      <c r="D36" s="28">
        <f t="shared" si="6"/>
        <v>161</v>
      </c>
      <c r="E36" s="28">
        <f t="shared" si="6"/>
        <v>15</v>
      </c>
      <c r="F36" s="28">
        <f t="shared" si="6"/>
        <v>4</v>
      </c>
      <c r="G36" s="28">
        <f t="shared" si="6"/>
        <v>30</v>
      </c>
      <c r="H36" s="28">
        <f t="shared" si="6"/>
        <v>846</v>
      </c>
      <c r="I36" s="28">
        <f t="shared" si="6"/>
        <v>4</v>
      </c>
      <c r="J36" s="28">
        <f t="shared" si="6"/>
        <v>3</v>
      </c>
      <c r="K36" s="28">
        <f t="shared" si="6"/>
        <v>0</v>
      </c>
      <c r="L36" s="28">
        <f t="shared" si="6"/>
        <v>3</v>
      </c>
      <c r="M36" s="28">
        <f t="shared" si="6"/>
        <v>3</v>
      </c>
      <c r="N36" s="28">
        <f t="shared" si="6"/>
        <v>0</v>
      </c>
      <c r="O36" s="28">
        <f t="shared" si="6"/>
        <v>0</v>
      </c>
    </row>
    <row r="37" spans="1:15">
      <c r="A37" s="127" t="s">
        <v>89</v>
      </c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</row>
    <row r="38" spans="1:15" ht="18.399999999999999" customHeight="1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</row>
    <row r="39" spans="1:15">
      <c r="A39" s="128" t="s">
        <v>50</v>
      </c>
      <c r="B39" s="128" t="s">
        <v>51</v>
      </c>
      <c r="C39" s="128" t="s">
        <v>52</v>
      </c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30" t="s">
        <v>53</v>
      </c>
      <c r="O39" s="130"/>
    </row>
    <row r="40" spans="1:15" ht="33">
      <c r="A40" s="128"/>
      <c r="B40" s="128"/>
      <c r="C40" s="128" t="s">
        <v>54</v>
      </c>
      <c r="D40" s="128"/>
      <c r="E40" s="128"/>
      <c r="F40" s="128"/>
      <c r="G40" s="128"/>
      <c r="H40" s="128" t="s">
        <v>0</v>
      </c>
      <c r="I40" s="128" t="s">
        <v>55</v>
      </c>
      <c r="J40" s="128"/>
      <c r="K40" s="128"/>
      <c r="L40" s="10" t="s">
        <v>56</v>
      </c>
      <c r="M40" s="10" t="s">
        <v>57</v>
      </c>
      <c r="N40" s="11" t="s">
        <v>58</v>
      </c>
      <c r="O40" s="11" t="s">
        <v>59</v>
      </c>
    </row>
    <row r="41" spans="1:15" ht="33">
      <c r="A41" s="128"/>
      <c r="B41" s="128"/>
      <c r="C41" s="10" t="s">
        <v>60</v>
      </c>
      <c r="D41" s="10" t="s">
        <v>61</v>
      </c>
      <c r="E41" s="10" t="s">
        <v>62</v>
      </c>
      <c r="F41" s="10" t="s">
        <v>63</v>
      </c>
      <c r="G41" s="10" t="s">
        <v>64</v>
      </c>
      <c r="H41" s="128"/>
      <c r="I41" s="10">
        <v>60</v>
      </c>
      <c r="J41" s="10">
        <v>82</v>
      </c>
      <c r="K41" s="10">
        <v>100</v>
      </c>
      <c r="L41" s="10" t="s">
        <v>65</v>
      </c>
      <c r="M41" s="10">
        <v>12.7</v>
      </c>
      <c r="N41" s="12"/>
      <c r="O41" s="12"/>
    </row>
    <row r="42" spans="1:15">
      <c r="A42" s="13" t="s">
        <v>66</v>
      </c>
      <c r="B42" s="13">
        <f>B43</f>
        <v>111</v>
      </c>
      <c r="C42" s="13">
        <f t="shared" ref="C42:O42" si="7">C43</f>
        <v>4</v>
      </c>
      <c r="D42" s="13">
        <f t="shared" si="7"/>
        <v>68</v>
      </c>
      <c r="E42" s="13">
        <f t="shared" si="7"/>
        <v>9</v>
      </c>
      <c r="F42" s="13">
        <f t="shared" si="7"/>
        <v>2</v>
      </c>
      <c r="G42" s="13">
        <f t="shared" si="7"/>
        <v>18</v>
      </c>
      <c r="H42" s="13">
        <f t="shared" si="7"/>
        <v>346</v>
      </c>
      <c r="I42" s="13">
        <f t="shared" si="7"/>
        <v>2</v>
      </c>
      <c r="J42" s="13">
        <f t="shared" si="7"/>
        <v>0</v>
      </c>
      <c r="K42" s="13">
        <f t="shared" si="7"/>
        <v>0</v>
      </c>
      <c r="L42" s="13">
        <f t="shared" si="7"/>
        <v>0</v>
      </c>
      <c r="M42" s="13">
        <f t="shared" si="7"/>
        <v>0</v>
      </c>
      <c r="N42" s="13">
        <f t="shared" si="7"/>
        <v>0</v>
      </c>
      <c r="O42" s="13">
        <f t="shared" si="7"/>
        <v>0</v>
      </c>
    </row>
    <row r="43" spans="1:15">
      <c r="A43" s="14" t="s">
        <v>90</v>
      </c>
      <c r="B43" s="5">
        <v>111</v>
      </c>
      <c r="C43" s="5">
        <v>4</v>
      </c>
      <c r="D43" s="5">
        <v>68</v>
      </c>
      <c r="E43" s="5">
        <v>9</v>
      </c>
      <c r="F43" s="5">
        <v>2</v>
      </c>
      <c r="G43" s="5">
        <v>18</v>
      </c>
      <c r="H43" s="5">
        <v>346</v>
      </c>
      <c r="I43" s="5">
        <v>2</v>
      </c>
      <c r="J43" s="5">
        <v>0</v>
      </c>
      <c r="K43" s="5">
        <v>0</v>
      </c>
      <c r="L43" s="5">
        <v>0</v>
      </c>
      <c r="M43" s="5">
        <v>0</v>
      </c>
      <c r="N43" s="12">
        <v>0</v>
      </c>
      <c r="O43" s="12">
        <v>0</v>
      </c>
    </row>
    <row r="44" spans="1:15">
      <c r="A44" s="13" t="s">
        <v>81</v>
      </c>
      <c r="B44" s="13">
        <f t="shared" ref="B44:O44" si="8">SUM(B45:B49)</f>
        <v>85</v>
      </c>
      <c r="C44" s="13">
        <f t="shared" si="8"/>
        <v>0</v>
      </c>
      <c r="D44" s="13">
        <f t="shared" si="8"/>
        <v>28</v>
      </c>
      <c r="E44" s="13">
        <f t="shared" si="8"/>
        <v>0</v>
      </c>
      <c r="F44" s="13">
        <f t="shared" si="8"/>
        <v>0</v>
      </c>
      <c r="G44" s="13">
        <f t="shared" si="8"/>
        <v>0</v>
      </c>
      <c r="H44" s="13">
        <f t="shared" si="8"/>
        <v>168</v>
      </c>
      <c r="I44" s="13">
        <f t="shared" si="8"/>
        <v>0</v>
      </c>
      <c r="J44" s="13">
        <f t="shared" si="8"/>
        <v>1</v>
      </c>
      <c r="K44" s="13">
        <f t="shared" si="8"/>
        <v>0</v>
      </c>
      <c r="L44" s="13">
        <f t="shared" si="8"/>
        <v>3</v>
      </c>
      <c r="M44" s="13">
        <f t="shared" si="8"/>
        <v>3</v>
      </c>
      <c r="N44" s="13">
        <f t="shared" si="8"/>
        <v>0</v>
      </c>
      <c r="O44" s="13">
        <f t="shared" si="8"/>
        <v>0</v>
      </c>
    </row>
    <row r="45" spans="1:15">
      <c r="A45" s="15" t="s">
        <v>91</v>
      </c>
      <c r="B45" s="5">
        <v>29</v>
      </c>
      <c r="C45" s="5"/>
      <c r="D45" s="5">
        <v>11</v>
      </c>
      <c r="E45" s="5"/>
      <c r="F45" s="5"/>
      <c r="G45" s="5"/>
      <c r="H45" s="5">
        <v>58</v>
      </c>
      <c r="I45" s="5"/>
      <c r="J45" s="5"/>
      <c r="K45" s="5"/>
      <c r="L45" s="5">
        <v>3</v>
      </c>
      <c r="M45" s="5"/>
      <c r="N45" s="12"/>
      <c r="O45" s="12"/>
    </row>
    <row r="46" spans="1:15">
      <c r="A46" s="15" t="s">
        <v>92</v>
      </c>
      <c r="B46" s="5">
        <v>17</v>
      </c>
      <c r="C46" s="5"/>
      <c r="D46" s="5">
        <v>5</v>
      </c>
      <c r="E46" s="5"/>
      <c r="F46" s="5"/>
      <c r="G46" s="5"/>
      <c r="H46" s="5">
        <v>32</v>
      </c>
      <c r="I46" s="5"/>
      <c r="J46" s="5">
        <v>1</v>
      </c>
      <c r="K46" s="5"/>
      <c r="L46" s="5"/>
      <c r="M46" s="5"/>
      <c r="N46" s="12"/>
      <c r="O46" s="12"/>
    </row>
    <row r="47" spans="1:15">
      <c r="A47" s="15" t="s">
        <v>93</v>
      </c>
      <c r="B47" s="5">
        <v>35</v>
      </c>
      <c r="C47" s="5"/>
      <c r="D47" s="5">
        <v>11</v>
      </c>
      <c r="E47" s="5"/>
      <c r="F47" s="5"/>
      <c r="G47" s="5"/>
      <c r="H47" s="5">
        <v>70</v>
      </c>
      <c r="I47" s="5"/>
      <c r="J47" s="5"/>
      <c r="K47" s="5"/>
      <c r="L47" s="5"/>
      <c r="M47" s="5">
        <v>3</v>
      </c>
      <c r="N47" s="12"/>
      <c r="O47" s="12"/>
    </row>
    <row r="48" spans="1:15">
      <c r="A48" s="15" t="s">
        <v>94</v>
      </c>
      <c r="B48" s="5">
        <v>4</v>
      </c>
      <c r="C48" s="5"/>
      <c r="D48" s="5">
        <v>1</v>
      </c>
      <c r="E48" s="5"/>
      <c r="F48" s="5"/>
      <c r="G48" s="5"/>
      <c r="H48" s="5">
        <v>8</v>
      </c>
      <c r="I48" s="5"/>
      <c r="J48" s="5"/>
      <c r="K48" s="5"/>
      <c r="L48" s="5"/>
      <c r="M48" s="5"/>
      <c r="N48" s="12"/>
      <c r="O48" s="12"/>
    </row>
    <row r="49" spans="1:15">
      <c r="A49" s="30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>
      <c r="A50" s="30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>
      <c r="A51" s="27" t="s">
        <v>78</v>
      </c>
      <c r="B51" s="28">
        <f>B42+B44</f>
        <v>196</v>
      </c>
      <c r="C51" s="28">
        <f t="shared" ref="C51:O51" si="9">C43+C44</f>
        <v>4</v>
      </c>
      <c r="D51" s="28">
        <f t="shared" si="9"/>
        <v>96</v>
      </c>
      <c r="E51" s="28">
        <f t="shared" si="9"/>
        <v>9</v>
      </c>
      <c r="F51" s="28">
        <f t="shared" si="9"/>
        <v>2</v>
      </c>
      <c r="G51" s="28">
        <f t="shared" si="9"/>
        <v>18</v>
      </c>
      <c r="H51" s="28">
        <f t="shared" si="9"/>
        <v>514</v>
      </c>
      <c r="I51" s="28">
        <f t="shared" si="9"/>
        <v>2</v>
      </c>
      <c r="J51" s="28">
        <f t="shared" si="9"/>
        <v>1</v>
      </c>
      <c r="K51" s="28">
        <f t="shared" si="9"/>
        <v>0</v>
      </c>
      <c r="L51" s="28">
        <f t="shared" si="9"/>
        <v>3</v>
      </c>
      <c r="M51" s="28">
        <f t="shared" si="9"/>
        <v>3</v>
      </c>
      <c r="N51" s="28">
        <f t="shared" si="9"/>
        <v>0</v>
      </c>
      <c r="O51" s="28">
        <f t="shared" si="9"/>
        <v>0</v>
      </c>
    </row>
    <row r="52" spans="1:15" ht="18.399999999999999" customHeight="1">
      <c r="A52" s="127" t="s">
        <v>95</v>
      </c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</row>
    <row r="53" spans="1:15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</row>
    <row r="54" spans="1:15">
      <c r="A54" s="128" t="s">
        <v>50</v>
      </c>
      <c r="B54" s="128" t="s">
        <v>51</v>
      </c>
      <c r="C54" s="128" t="s">
        <v>52</v>
      </c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30" t="s">
        <v>53</v>
      </c>
      <c r="O54" s="130"/>
    </row>
    <row r="55" spans="1:15" ht="33">
      <c r="A55" s="128"/>
      <c r="B55" s="128"/>
      <c r="C55" s="128" t="s">
        <v>54</v>
      </c>
      <c r="D55" s="128"/>
      <c r="E55" s="128"/>
      <c r="F55" s="128"/>
      <c r="G55" s="128"/>
      <c r="H55" s="128" t="s">
        <v>0</v>
      </c>
      <c r="I55" s="128" t="s">
        <v>55</v>
      </c>
      <c r="J55" s="128"/>
      <c r="K55" s="128"/>
      <c r="L55" s="10" t="s">
        <v>56</v>
      </c>
      <c r="M55" s="10" t="s">
        <v>57</v>
      </c>
      <c r="N55" s="11" t="s">
        <v>58</v>
      </c>
      <c r="O55" s="11" t="s">
        <v>59</v>
      </c>
    </row>
    <row r="56" spans="1:15" ht="33">
      <c r="A56" s="128"/>
      <c r="B56" s="128"/>
      <c r="C56" s="10" t="s">
        <v>60</v>
      </c>
      <c r="D56" s="10" t="s">
        <v>61</v>
      </c>
      <c r="E56" s="10" t="s">
        <v>62</v>
      </c>
      <c r="F56" s="10" t="s">
        <v>63</v>
      </c>
      <c r="G56" s="10" t="s">
        <v>64</v>
      </c>
      <c r="H56" s="128"/>
      <c r="I56" s="10">
        <v>60</v>
      </c>
      <c r="J56" s="10">
        <v>82</v>
      </c>
      <c r="K56" s="10">
        <v>100</v>
      </c>
      <c r="L56" s="10" t="s">
        <v>65</v>
      </c>
      <c r="M56" s="10">
        <v>12.7</v>
      </c>
      <c r="N56" s="12"/>
      <c r="O56" s="12"/>
    </row>
    <row r="57" spans="1:15">
      <c r="A57" s="13" t="s">
        <v>66</v>
      </c>
      <c r="B57" s="13">
        <f>B58</f>
        <v>111</v>
      </c>
      <c r="C57" s="13">
        <f t="shared" ref="C57:O57" si="10">C58</f>
        <v>4</v>
      </c>
      <c r="D57" s="13">
        <f t="shared" si="10"/>
        <v>68</v>
      </c>
      <c r="E57" s="13">
        <f t="shared" si="10"/>
        <v>9</v>
      </c>
      <c r="F57" s="13">
        <f t="shared" si="10"/>
        <v>2</v>
      </c>
      <c r="G57" s="13">
        <f t="shared" si="10"/>
        <v>18</v>
      </c>
      <c r="H57" s="13">
        <f t="shared" si="10"/>
        <v>346</v>
      </c>
      <c r="I57" s="13">
        <f t="shared" si="10"/>
        <v>2</v>
      </c>
      <c r="J57" s="13">
        <f t="shared" si="10"/>
        <v>0</v>
      </c>
      <c r="K57" s="13">
        <f t="shared" si="10"/>
        <v>0</v>
      </c>
      <c r="L57" s="13">
        <f t="shared" si="10"/>
        <v>0</v>
      </c>
      <c r="M57" s="13">
        <f t="shared" si="10"/>
        <v>0</v>
      </c>
      <c r="N57" s="13">
        <f t="shared" si="10"/>
        <v>0</v>
      </c>
      <c r="O57" s="13">
        <f t="shared" si="10"/>
        <v>0</v>
      </c>
    </row>
    <row r="58" spans="1:15">
      <c r="A58" s="14" t="s">
        <v>96</v>
      </c>
      <c r="B58" s="5">
        <v>111</v>
      </c>
      <c r="C58" s="5">
        <v>4</v>
      </c>
      <c r="D58" s="5">
        <v>68</v>
      </c>
      <c r="E58" s="5">
        <v>9</v>
      </c>
      <c r="F58" s="5">
        <v>2</v>
      </c>
      <c r="G58" s="5">
        <v>18</v>
      </c>
      <c r="H58" s="5">
        <v>346</v>
      </c>
      <c r="I58" s="5">
        <v>2</v>
      </c>
      <c r="J58" s="5"/>
      <c r="K58" s="5"/>
      <c r="L58" s="5"/>
      <c r="M58" s="5"/>
      <c r="N58" s="12"/>
      <c r="O58" s="12"/>
    </row>
    <row r="59" spans="1:15">
      <c r="A59" s="13" t="s">
        <v>81</v>
      </c>
      <c r="B59" s="13">
        <f t="shared" ref="B59:I59" si="11">SUM(B60:B60)</f>
        <v>2</v>
      </c>
      <c r="C59" s="13">
        <f t="shared" si="11"/>
        <v>0</v>
      </c>
      <c r="D59" s="13">
        <f t="shared" si="11"/>
        <v>1</v>
      </c>
      <c r="E59" s="13">
        <f t="shared" si="11"/>
        <v>0</v>
      </c>
      <c r="F59" s="13">
        <f t="shared" si="11"/>
        <v>0</v>
      </c>
      <c r="G59" s="13">
        <f t="shared" si="11"/>
        <v>0</v>
      </c>
      <c r="H59" s="13">
        <f t="shared" si="11"/>
        <v>4</v>
      </c>
      <c r="I59" s="13">
        <f t="shared" si="11"/>
        <v>0</v>
      </c>
      <c r="J59" s="13">
        <v>0</v>
      </c>
      <c r="K59" s="13">
        <f>SUM(K60:K60)</f>
        <v>0</v>
      </c>
      <c r="L59" s="13">
        <f>SUM(L60:L60)</f>
        <v>0</v>
      </c>
      <c r="M59" s="13">
        <f>SUM(M60:M60)</f>
        <v>0</v>
      </c>
      <c r="N59" s="13">
        <f>SUM(N60:N60)</f>
        <v>0</v>
      </c>
      <c r="O59" s="13">
        <f>SUM(O60:O60)</f>
        <v>0</v>
      </c>
    </row>
    <row r="60" spans="1:15" ht="18.399999999999999" customHeight="1">
      <c r="A60" s="15" t="s">
        <v>97</v>
      </c>
      <c r="B60" s="5">
        <v>2</v>
      </c>
      <c r="C60" s="5"/>
      <c r="D60" s="5">
        <v>1</v>
      </c>
      <c r="E60" s="5"/>
      <c r="F60" s="5"/>
      <c r="G60" s="5"/>
      <c r="H60" s="5">
        <v>4</v>
      </c>
      <c r="I60" s="5"/>
      <c r="J60" s="5"/>
      <c r="K60" s="5"/>
      <c r="L60" s="5"/>
      <c r="M60" s="5"/>
      <c r="N60" s="12"/>
      <c r="O60" s="12"/>
    </row>
    <row r="61" spans="1:15" ht="18.399999999999999" customHeight="1">
      <c r="A61" s="1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12"/>
      <c r="O61" s="12"/>
    </row>
    <row r="62" spans="1:15">
      <c r="A62" s="27" t="s">
        <v>78</v>
      </c>
      <c r="B62" s="28">
        <f t="shared" ref="B62:O62" si="12">B59+B57</f>
        <v>113</v>
      </c>
      <c r="C62" s="28">
        <f t="shared" si="12"/>
        <v>4</v>
      </c>
      <c r="D62" s="28">
        <f t="shared" si="12"/>
        <v>69</v>
      </c>
      <c r="E62" s="28">
        <f t="shared" si="12"/>
        <v>9</v>
      </c>
      <c r="F62" s="28">
        <f t="shared" si="12"/>
        <v>2</v>
      </c>
      <c r="G62" s="28">
        <f t="shared" si="12"/>
        <v>18</v>
      </c>
      <c r="H62" s="28">
        <f t="shared" si="12"/>
        <v>350</v>
      </c>
      <c r="I62" s="28">
        <f t="shared" si="12"/>
        <v>2</v>
      </c>
      <c r="J62" s="28">
        <f t="shared" si="12"/>
        <v>0</v>
      </c>
      <c r="K62" s="28">
        <f t="shared" si="12"/>
        <v>0</v>
      </c>
      <c r="L62" s="28">
        <f t="shared" si="12"/>
        <v>0</v>
      </c>
      <c r="M62" s="28">
        <f t="shared" si="12"/>
        <v>0</v>
      </c>
      <c r="N62" s="28">
        <f t="shared" si="12"/>
        <v>0</v>
      </c>
      <c r="O62" s="28">
        <f t="shared" si="12"/>
        <v>0</v>
      </c>
    </row>
    <row r="63" spans="1:15">
      <c r="A63" s="127" t="s">
        <v>98</v>
      </c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</row>
    <row r="64" spans="1:15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</row>
    <row r="65" spans="1:15">
      <c r="A65" s="128" t="s">
        <v>50</v>
      </c>
      <c r="B65" s="128" t="s">
        <v>51</v>
      </c>
      <c r="C65" s="128" t="s">
        <v>52</v>
      </c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30" t="s">
        <v>53</v>
      </c>
      <c r="O65" s="130"/>
    </row>
    <row r="66" spans="1:15" ht="33">
      <c r="A66" s="128"/>
      <c r="B66" s="128"/>
      <c r="C66" s="128" t="s">
        <v>54</v>
      </c>
      <c r="D66" s="128"/>
      <c r="E66" s="128"/>
      <c r="F66" s="128"/>
      <c r="G66" s="128"/>
      <c r="H66" s="128" t="s">
        <v>0</v>
      </c>
      <c r="I66" s="128" t="s">
        <v>55</v>
      </c>
      <c r="J66" s="128"/>
      <c r="K66" s="128"/>
      <c r="L66" s="10" t="s">
        <v>56</v>
      </c>
      <c r="M66" s="10" t="s">
        <v>57</v>
      </c>
      <c r="N66" s="11" t="s">
        <v>58</v>
      </c>
      <c r="O66" s="11" t="s">
        <v>59</v>
      </c>
    </row>
    <row r="67" spans="1:15" ht="33">
      <c r="A67" s="128"/>
      <c r="B67" s="128"/>
      <c r="C67" s="10" t="s">
        <v>60</v>
      </c>
      <c r="D67" s="10" t="s">
        <v>61</v>
      </c>
      <c r="E67" s="10" t="s">
        <v>62</v>
      </c>
      <c r="F67" s="10" t="s">
        <v>63</v>
      </c>
      <c r="G67" s="10" t="s">
        <v>64</v>
      </c>
      <c r="H67" s="128"/>
      <c r="I67" s="10">
        <v>60</v>
      </c>
      <c r="J67" s="10">
        <v>82</v>
      </c>
      <c r="K67" s="10">
        <v>100</v>
      </c>
      <c r="L67" s="10" t="s">
        <v>65</v>
      </c>
      <c r="M67" s="10">
        <v>12.7</v>
      </c>
      <c r="N67" s="12"/>
      <c r="O67" s="12"/>
    </row>
    <row r="68" spans="1:15">
      <c r="A68" s="13" t="s">
        <v>66</v>
      </c>
      <c r="B68" s="13">
        <f>B69</f>
        <v>104</v>
      </c>
      <c r="C68" s="13">
        <f t="shared" ref="C68:O68" si="13">C69</f>
        <v>6</v>
      </c>
      <c r="D68" s="13">
        <f t="shared" si="13"/>
        <v>53</v>
      </c>
      <c r="E68" s="13">
        <f t="shared" si="13"/>
        <v>0</v>
      </c>
      <c r="F68" s="13">
        <f t="shared" si="13"/>
        <v>0</v>
      </c>
      <c r="G68" s="13">
        <f t="shared" si="13"/>
        <v>6</v>
      </c>
      <c r="H68" s="13">
        <f t="shared" si="13"/>
        <v>208</v>
      </c>
      <c r="I68" s="13">
        <f t="shared" si="13"/>
        <v>0</v>
      </c>
      <c r="J68" s="13">
        <f t="shared" si="13"/>
        <v>0</v>
      </c>
      <c r="K68" s="13">
        <f t="shared" si="13"/>
        <v>0</v>
      </c>
      <c r="L68" s="13">
        <f t="shared" si="13"/>
        <v>0</v>
      </c>
      <c r="M68" s="13">
        <f t="shared" si="13"/>
        <v>0</v>
      </c>
      <c r="N68" s="13">
        <f t="shared" si="13"/>
        <v>0</v>
      </c>
      <c r="O68" s="13">
        <f t="shared" si="13"/>
        <v>0</v>
      </c>
    </row>
    <row r="69" spans="1:15">
      <c r="A69" s="32" t="s">
        <v>99</v>
      </c>
      <c r="B69" s="32">
        <v>104</v>
      </c>
      <c r="C69" s="32">
        <v>6</v>
      </c>
      <c r="D69" s="32">
        <v>53</v>
      </c>
      <c r="E69" s="32"/>
      <c r="G69" s="32">
        <v>6</v>
      </c>
      <c r="H69" s="32">
        <v>208</v>
      </c>
      <c r="I69" s="32"/>
      <c r="J69" s="32"/>
      <c r="K69" s="32"/>
      <c r="L69" s="32"/>
      <c r="M69" s="32"/>
      <c r="N69" s="32"/>
      <c r="O69" s="32"/>
    </row>
    <row r="70" spans="1:15" ht="37.5">
      <c r="A70" s="13" t="s">
        <v>100</v>
      </c>
      <c r="B70" s="13">
        <f>SUM(B71:B80)</f>
        <v>280</v>
      </c>
      <c r="C70" s="13">
        <f t="shared" ref="C70:O70" si="14">SUM(C71:C80)</f>
        <v>16</v>
      </c>
      <c r="D70" s="13">
        <f t="shared" si="14"/>
        <v>107</v>
      </c>
      <c r="E70" s="13">
        <f t="shared" si="14"/>
        <v>0</v>
      </c>
      <c r="F70" s="13">
        <f t="shared" si="14"/>
        <v>0</v>
      </c>
      <c r="G70" s="13">
        <f t="shared" si="14"/>
        <v>0</v>
      </c>
      <c r="H70" s="13">
        <f t="shared" si="14"/>
        <v>485</v>
      </c>
      <c r="I70" s="13">
        <f t="shared" si="14"/>
        <v>4</v>
      </c>
      <c r="J70" s="13">
        <f t="shared" si="14"/>
        <v>3</v>
      </c>
      <c r="K70" s="13">
        <f t="shared" si="14"/>
        <v>3</v>
      </c>
      <c r="L70" s="13">
        <f>SUM(L71:L80)</f>
        <v>4</v>
      </c>
      <c r="M70" s="13">
        <f t="shared" si="14"/>
        <v>0</v>
      </c>
      <c r="N70" s="13">
        <f t="shared" si="14"/>
        <v>0</v>
      </c>
      <c r="O70" s="13">
        <f t="shared" si="14"/>
        <v>0</v>
      </c>
    </row>
    <row r="71" spans="1:15">
      <c r="A71" s="15" t="s">
        <v>101</v>
      </c>
      <c r="B71" s="5">
        <v>74</v>
      </c>
      <c r="C71" s="5">
        <v>4</v>
      </c>
      <c r="D71" s="5">
        <v>30</v>
      </c>
      <c r="E71" s="5">
        <v>0</v>
      </c>
      <c r="G71" s="5">
        <v>0</v>
      </c>
      <c r="H71" s="5">
        <v>139</v>
      </c>
      <c r="I71" s="5">
        <v>4</v>
      </c>
      <c r="J71" s="5">
        <v>0</v>
      </c>
      <c r="K71" s="5">
        <v>0</v>
      </c>
      <c r="L71" s="5">
        <v>4</v>
      </c>
      <c r="M71" s="5"/>
      <c r="N71" s="12"/>
      <c r="O71" s="12"/>
    </row>
    <row r="72" spans="1:15">
      <c r="A72" s="15" t="s">
        <v>102</v>
      </c>
      <c r="B72" s="5">
        <v>40</v>
      </c>
      <c r="C72" s="5">
        <v>4</v>
      </c>
      <c r="D72" s="5">
        <v>15</v>
      </c>
      <c r="E72" s="5">
        <v>0</v>
      </c>
      <c r="G72" s="5">
        <v>0</v>
      </c>
      <c r="H72" s="5">
        <v>72</v>
      </c>
      <c r="I72" s="5">
        <v>0</v>
      </c>
      <c r="J72" s="5">
        <v>3</v>
      </c>
      <c r="K72" s="5">
        <v>0</v>
      </c>
      <c r="L72" s="5"/>
      <c r="M72" s="5"/>
      <c r="N72" s="12"/>
      <c r="O72" s="12"/>
    </row>
    <row r="73" spans="1:15">
      <c r="A73" s="15" t="s">
        <v>103</v>
      </c>
      <c r="B73" s="5">
        <v>47</v>
      </c>
      <c r="C73" s="5">
        <v>4</v>
      </c>
      <c r="D73" s="5">
        <v>15</v>
      </c>
      <c r="E73" s="5">
        <v>0</v>
      </c>
      <c r="G73" s="5">
        <v>0</v>
      </c>
      <c r="H73" s="5">
        <v>86</v>
      </c>
      <c r="I73" s="5">
        <v>0</v>
      </c>
      <c r="J73" s="5">
        <v>0</v>
      </c>
      <c r="K73" s="5">
        <v>3</v>
      </c>
      <c r="L73" s="5"/>
      <c r="M73" s="5"/>
      <c r="N73" s="12"/>
      <c r="O73" s="12"/>
    </row>
    <row r="74" spans="1:15">
      <c r="A74" s="15" t="s">
        <v>104</v>
      </c>
      <c r="B74" s="5">
        <v>66</v>
      </c>
      <c r="C74" s="5">
        <v>4</v>
      </c>
      <c r="D74" s="5">
        <v>23</v>
      </c>
      <c r="E74" s="5">
        <v>0</v>
      </c>
      <c r="G74" s="5">
        <v>0</v>
      </c>
      <c r="H74" s="5">
        <v>70</v>
      </c>
      <c r="I74" s="5">
        <v>0</v>
      </c>
      <c r="J74" s="5">
        <v>0</v>
      </c>
      <c r="K74" s="5">
        <v>0</v>
      </c>
      <c r="L74" s="5"/>
      <c r="M74" s="5"/>
      <c r="N74" s="12"/>
      <c r="O74" s="12"/>
    </row>
    <row r="75" spans="1:15">
      <c r="A75" s="16" t="s">
        <v>105</v>
      </c>
      <c r="B75" s="17">
        <v>19</v>
      </c>
      <c r="C75" s="17">
        <v>0</v>
      </c>
      <c r="D75" s="17">
        <v>10</v>
      </c>
      <c r="E75" s="17">
        <v>0</v>
      </c>
      <c r="G75" s="17">
        <v>0</v>
      </c>
      <c r="H75" s="17">
        <v>50</v>
      </c>
      <c r="I75" s="17">
        <v>0</v>
      </c>
      <c r="J75" s="17">
        <v>0</v>
      </c>
      <c r="K75" s="17">
        <v>0</v>
      </c>
      <c r="L75" s="17"/>
      <c r="M75" s="17"/>
      <c r="N75" s="12"/>
      <c r="O75" s="12"/>
    </row>
    <row r="76" spans="1:15">
      <c r="A76" s="16" t="s">
        <v>73</v>
      </c>
      <c r="B76" s="17">
        <v>3</v>
      </c>
      <c r="C76" s="17">
        <v>0</v>
      </c>
      <c r="D76" s="17">
        <v>3</v>
      </c>
      <c r="E76" s="17">
        <v>0</v>
      </c>
      <c r="G76" s="17">
        <v>0</v>
      </c>
      <c r="H76" s="17">
        <v>6</v>
      </c>
      <c r="I76" s="17">
        <v>0</v>
      </c>
      <c r="J76" s="17">
        <v>0</v>
      </c>
      <c r="K76" s="17">
        <v>0</v>
      </c>
      <c r="L76" s="17"/>
      <c r="M76" s="17"/>
      <c r="N76" s="12"/>
      <c r="O76" s="12"/>
    </row>
    <row r="77" spans="1:15">
      <c r="A77" s="16" t="s">
        <v>106</v>
      </c>
      <c r="B77" s="17">
        <v>28</v>
      </c>
      <c r="C77" s="17">
        <v>0</v>
      </c>
      <c r="D77" s="17">
        <v>10</v>
      </c>
      <c r="E77" s="17">
        <v>0</v>
      </c>
      <c r="G77" s="17">
        <v>0</v>
      </c>
      <c r="H77" s="17">
        <v>56</v>
      </c>
      <c r="I77" s="17">
        <v>0</v>
      </c>
      <c r="J77" s="17">
        <v>0</v>
      </c>
      <c r="K77" s="17">
        <v>0</v>
      </c>
      <c r="L77" s="17"/>
      <c r="M77" s="17"/>
      <c r="N77" s="12"/>
      <c r="O77" s="12"/>
    </row>
    <row r="78" spans="1:15">
      <c r="A78" s="15" t="s">
        <v>76</v>
      </c>
      <c r="B78" s="5">
        <v>3</v>
      </c>
      <c r="C78" s="5">
        <v>0</v>
      </c>
      <c r="D78" s="5">
        <v>1</v>
      </c>
      <c r="E78" s="5">
        <v>0</v>
      </c>
      <c r="G78" s="5">
        <v>0</v>
      </c>
      <c r="H78" s="5">
        <v>6</v>
      </c>
      <c r="I78" s="5">
        <v>0</v>
      </c>
      <c r="J78" s="5">
        <v>0</v>
      </c>
      <c r="K78" s="5">
        <v>0</v>
      </c>
      <c r="L78" s="5"/>
      <c r="M78" s="5"/>
      <c r="N78" s="12"/>
      <c r="O78" s="12"/>
    </row>
    <row r="79" spans="1:15">
      <c r="A79" s="1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12"/>
      <c r="O79" s="12"/>
    </row>
    <row r="80" spans="1:15">
      <c r="A80" s="1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12"/>
      <c r="O80" s="12"/>
    </row>
    <row r="81" spans="1:15">
      <c r="A81" s="27" t="s">
        <v>78</v>
      </c>
      <c r="B81" s="28">
        <f>B68+B70</f>
        <v>384</v>
      </c>
      <c r="C81" s="28">
        <f t="shared" ref="C81:O81" si="15">C68+C70</f>
        <v>22</v>
      </c>
      <c r="D81" s="28">
        <f t="shared" si="15"/>
        <v>160</v>
      </c>
      <c r="E81" s="28">
        <f t="shared" si="15"/>
        <v>0</v>
      </c>
      <c r="F81" s="28">
        <f t="shared" si="15"/>
        <v>0</v>
      </c>
      <c r="G81" s="28">
        <f t="shared" si="15"/>
        <v>6</v>
      </c>
      <c r="H81" s="28">
        <f t="shared" si="15"/>
        <v>693</v>
      </c>
      <c r="I81" s="28">
        <f t="shared" si="15"/>
        <v>4</v>
      </c>
      <c r="J81" s="28">
        <f t="shared" si="15"/>
        <v>3</v>
      </c>
      <c r="K81" s="28">
        <f t="shared" si="15"/>
        <v>3</v>
      </c>
      <c r="L81" s="28">
        <f t="shared" si="15"/>
        <v>4</v>
      </c>
      <c r="M81" s="28">
        <f t="shared" si="15"/>
        <v>0</v>
      </c>
      <c r="N81" s="28">
        <f t="shared" si="15"/>
        <v>0</v>
      </c>
      <c r="O81" s="28">
        <f t="shared" si="15"/>
        <v>0</v>
      </c>
    </row>
  </sheetData>
  <mergeCells count="40">
    <mergeCell ref="A63:O64"/>
    <mergeCell ref="A65:A67"/>
    <mergeCell ref="B65:B67"/>
    <mergeCell ref="C65:M65"/>
    <mergeCell ref="N65:O65"/>
    <mergeCell ref="C66:G66"/>
    <mergeCell ref="H66:H67"/>
    <mergeCell ref="I66:K66"/>
    <mergeCell ref="A52:O53"/>
    <mergeCell ref="A54:A56"/>
    <mergeCell ref="B54:B56"/>
    <mergeCell ref="C54:M54"/>
    <mergeCell ref="N54:O54"/>
    <mergeCell ref="C55:G55"/>
    <mergeCell ref="H55:H56"/>
    <mergeCell ref="I55:K55"/>
    <mergeCell ref="A37:O38"/>
    <mergeCell ref="A39:A41"/>
    <mergeCell ref="B39:B41"/>
    <mergeCell ref="C39:M39"/>
    <mergeCell ref="N39:O39"/>
    <mergeCell ref="C40:G40"/>
    <mergeCell ref="H40:H41"/>
    <mergeCell ref="I40:K40"/>
    <mergeCell ref="A20:O21"/>
    <mergeCell ref="A22:A24"/>
    <mergeCell ref="B22:B24"/>
    <mergeCell ref="C22:M22"/>
    <mergeCell ref="N22:O22"/>
    <mergeCell ref="C23:G23"/>
    <mergeCell ref="H23:H24"/>
    <mergeCell ref="I23:K23"/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1C5EA-DD80-4E63-AE83-D9E16B047340}">
  <dimension ref="A1:H40"/>
  <sheetViews>
    <sheetView workbookViewId="0">
      <selection activeCell="K24" sqref="K24"/>
    </sheetView>
  </sheetViews>
  <sheetFormatPr defaultRowHeight="15"/>
  <cols>
    <col min="2" max="2" width="43.28515625" customWidth="1"/>
    <col min="5" max="5" width="10.7109375" customWidth="1"/>
    <col min="6" max="6" width="13" customWidth="1"/>
  </cols>
  <sheetData>
    <row r="1" spans="1:8" ht="18.75">
      <c r="A1" s="131" t="s">
        <v>3</v>
      </c>
      <c r="B1" s="131"/>
      <c r="C1" s="131"/>
      <c r="D1" s="131"/>
      <c r="E1" s="131"/>
      <c r="F1" s="131"/>
      <c r="G1" s="131"/>
      <c r="H1" s="131"/>
    </row>
    <row r="2" spans="1:8" ht="18.75">
      <c r="A2" s="132" t="s">
        <v>1</v>
      </c>
      <c r="B2" s="132" t="s">
        <v>4</v>
      </c>
      <c r="C2" s="132" t="s">
        <v>5</v>
      </c>
      <c r="D2" s="132" t="s">
        <v>6</v>
      </c>
      <c r="E2" s="132" t="s">
        <v>7</v>
      </c>
      <c r="F2" s="132" t="s">
        <v>8</v>
      </c>
      <c r="G2" s="132" t="s">
        <v>9</v>
      </c>
      <c r="H2" s="132"/>
    </row>
    <row r="3" spans="1:8" ht="37.5">
      <c r="A3" s="132"/>
      <c r="B3" s="132"/>
      <c r="C3" s="132"/>
      <c r="D3" s="132"/>
      <c r="E3" s="132"/>
      <c r="F3" s="132"/>
      <c r="G3" s="1" t="s">
        <v>10</v>
      </c>
      <c r="H3" s="1" t="s">
        <v>11</v>
      </c>
    </row>
    <row r="4" spans="1:8" ht="18.75">
      <c r="A4" s="1" t="s">
        <v>12</v>
      </c>
      <c r="B4" s="2" t="s">
        <v>13</v>
      </c>
      <c r="C4" s="3"/>
      <c r="D4" s="3"/>
      <c r="E4" s="3"/>
      <c r="F4" s="3"/>
      <c r="G4" s="3"/>
      <c r="H4" s="3"/>
    </row>
    <row r="5" spans="1:8" ht="18.75">
      <c r="A5" s="3">
        <v>1</v>
      </c>
      <c r="B5" s="4" t="s">
        <v>14</v>
      </c>
      <c r="C5" s="3" t="s">
        <v>15</v>
      </c>
      <c r="D5" s="3">
        <f>F5+G5+H5</f>
        <v>2.2000000000000002</v>
      </c>
      <c r="E5" s="5">
        <v>1.45</v>
      </c>
      <c r="F5" s="5">
        <v>1.2</v>
      </c>
      <c r="G5" s="5"/>
      <c r="H5" s="5">
        <v>1</v>
      </c>
    </row>
    <row r="6" spans="1:8" ht="18.75">
      <c r="A6" s="3">
        <v>2</v>
      </c>
      <c r="B6" s="4" t="s">
        <v>16</v>
      </c>
      <c r="C6" s="3" t="s">
        <v>15</v>
      </c>
      <c r="D6" s="3">
        <f t="shared" ref="D6:D29" si="0">F6+G6+H6</f>
        <v>1.7</v>
      </c>
      <c r="E6" s="5">
        <v>1.45</v>
      </c>
      <c r="F6" s="5">
        <v>0.7</v>
      </c>
      <c r="G6" s="5"/>
      <c r="H6" s="5">
        <v>1</v>
      </c>
    </row>
    <row r="7" spans="1:8" ht="18.75">
      <c r="A7" s="3">
        <v>3</v>
      </c>
      <c r="B7" s="4" t="s">
        <v>17</v>
      </c>
      <c r="C7" s="3" t="s">
        <v>15</v>
      </c>
      <c r="D7" s="3">
        <f t="shared" si="0"/>
        <v>1.7</v>
      </c>
      <c r="E7" s="5">
        <v>1.45</v>
      </c>
      <c r="F7" s="5">
        <v>0.7</v>
      </c>
      <c r="G7" s="5"/>
      <c r="H7" s="5">
        <v>1</v>
      </c>
    </row>
    <row r="8" spans="1:8" ht="18.75">
      <c r="A8" s="3">
        <v>4</v>
      </c>
      <c r="B8" s="4" t="s">
        <v>18</v>
      </c>
      <c r="C8" s="3" t="s">
        <v>15</v>
      </c>
      <c r="D8" s="3">
        <f t="shared" si="0"/>
        <v>2.2999999999999998</v>
      </c>
      <c r="E8" s="5">
        <v>1.75</v>
      </c>
      <c r="F8" s="5">
        <v>0.8</v>
      </c>
      <c r="G8" s="5"/>
      <c r="H8" s="5">
        <v>1.5</v>
      </c>
    </row>
    <row r="9" spans="1:8" ht="18.75">
      <c r="A9" s="3">
        <v>5</v>
      </c>
      <c r="B9" s="4" t="s">
        <v>19</v>
      </c>
      <c r="C9" s="3" t="s">
        <v>15</v>
      </c>
      <c r="D9" s="3">
        <f t="shared" si="0"/>
        <v>1.35</v>
      </c>
      <c r="E9" s="5">
        <v>1</v>
      </c>
      <c r="F9" s="5">
        <v>0.1</v>
      </c>
      <c r="G9" s="5"/>
      <c r="H9" s="5">
        <v>1.25</v>
      </c>
    </row>
    <row r="10" spans="1:8" ht="18.75">
      <c r="A10" s="3">
        <v>6</v>
      </c>
      <c r="B10" s="4" t="s">
        <v>20</v>
      </c>
      <c r="C10" s="3" t="s">
        <v>15</v>
      </c>
      <c r="D10" s="3">
        <f t="shared" si="0"/>
        <v>1.5</v>
      </c>
      <c r="E10" s="5">
        <v>1.1499999999999999</v>
      </c>
      <c r="F10" s="5">
        <v>0.25</v>
      </c>
      <c r="G10" s="5"/>
      <c r="H10" s="5">
        <v>1.25</v>
      </c>
    </row>
    <row r="11" spans="1:8" ht="18.75">
      <c r="A11" s="3">
        <v>7</v>
      </c>
      <c r="B11" s="4" t="s">
        <v>21</v>
      </c>
      <c r="C11" s="3" t="s">
        <v>15</v>
      </c>
      <c r="D11" s="3">
        <f t="shared" si="0"/>
        <v>1.5</v>
      </c>
      <c r="E11" s="5">
        <v>1.1499999999999999</v>
      </c>
      <c r="F11" s="5">
        <v>0.25</v>
      </c>
      <c r="G11" s="5"/>
      <c r="H11" s="5">
        <v>1.25</v>
      </c>
    </row>
    <row r="12" spans="1:8" ht="18.75">
      <c r="A12" s="3">
        <v>8</v>
      </c>
      <c r="B12" s="4" t="s">
        <v>22</v>
      </c>
      <c r="C12" s="3" t="s">
        <v>15</v>
      </c>
      <c r="D12" s="3">
        <f t="shared" si="0"/>
        <v>1.35</v>
      </c>
      <c r="E12" s="5">
        <v>1.1499999999999999</v>
      </c>
      <c r="F12" s="5">
        <v>0.35</v>
      </c>
      <c r="G12" s="5"/>
      <c r="H12" s="5">
        <v>1</v>
      </c>
    </row>
    <row r="13" spans="1:8" ht="18.75">
      <c r="A13" s="3">
        <v>9</v>
      </c>
      <c r="B13" s="4" t="s">
        <v>23</v>
      </c>
      <c r="C13" s="3" t="s">
        <v>15</v>
      </c>
      <c r="D13" s="3">
        <f t="shared" si="0"/>
        <v>1.78</v>
      </c>
      <c r="E13" s="5">
        <v>1.45</v>
      </c>
      <c r="F13" s="5">
        <v>0.53</v>
      </c>
      <c r="G13" s="5"/>
      <c r="H13" s="5">
        <v>1.25</v>
      </c>
    </row>
    <row r="14" spans="1:8" ht="18.75">
      <c r="A14" s="3">
        <v>10</v>
      </c>
      <c r="B14" s="4" t="s">
        <v>0</v>
      </c>
      <c r="C14" s="3" t="s">
        <v>24</v>
      </c>
      <c r="D14" s="3">
        <f t="shared" si="0"/>
        <v>4103</v>
      </c>
      <c r="E14" s="5">
        <v>2603</v>
      </c>
      <c r="F14" s="5">
        <v>2603</v>
      </c>
      <c r="G14" s="5"/>
      <c r="H14" s="5">
        <v>1500</v>
      </c>
    </row>
    <row r="15" spans="1:8" ht="18.75">
      <c r="A15" s="1" t="s">
        <v>25</v>
      </c>
      <c r="B15" s="2" t="s">
        <v>26</v>
      </c>
      <c r="C15" s="3"/>
      <c r="D15" s="3">
        <f t="shared" si="0"/>
        <v>0</v>
      </c>
      <c r="E15" s="5"/>
      <c r="F15" s="5"/>
      <c r="G15" s="5"/>
      <c r="H15" s="5"/>
    </row>
    <row r="16" spans="1:8" ht="18.75">
      <c r="A16" s="1" t="s">
        <v>27</v>
      </c>
      <c r="B16" s="2" t="s">
        <v>28</v>
      </c>
      <c r="C16" s="3"/>
      <c r="D16" s="3"/>
      <c r="E16" s="5"/>
      <c r="F16" s="5"/>
      <c r="G16" s="5"/>
      <c r="H16" s="5"/>
    </row>
    <row r="17" spans="1:8" ht="18.75">
      <c r="A17" s="3">
        <v>1</v>
      </c>
      <c r="B17" s="4" t="s">
        <v>29</v>
      </c>
      <c r="C17" s="3" t="s">
        <v>30</v>
      </c>
      <c r="D17" s="3">
        <f t="shared" si="0"/>
        <v>19</v>
      </c>
      <c r="E17" s="5">
        <v>7</v>
      </c>
      <c r="F17" s="5">
        <v>5</v>
      </c>
      <c r="G17" s="5">
        <v>5</v>
      </c>
      <c r="H17" s="5">
        <v>9</v>
      </c>
    </row>
    <row r="18" spans="1:8" ht="18.75">
      <c r="A18" s="3">
        <v>2</v>
      </c>
      <c r="B18" s="4" t="s">
        <v>31</v>
      </c>
      <c r="C18" s="3" t="s">
        <v>30</v>
      </c>
      <c r="D18" s="3">
        <f t="shared" si="0"/>
        <v>4</v>
      </c>
      <c r="E18" s="5">
        <v>3</v>
      </c>
      <c r="F18" s="5">
        <v>2</v>
      </c>
      <c r="G18" s="5">
        <v>0</v>
      </c>
      <c r="H18" s="5">
        <v>2</v>
      </c>
    </row>
    <row r="19" spans="1:8" ht="18.75">
      <c r="A19" s="3">
        <v>3</v>
      </c>
      <c r="B19" s="4" t="s">
        <v>32</v>
      </c>
      <c r="C19" s="3" t="s">
        <v>2</v>
      </c>
      <c r="D19" s="3">
        <f t="shared" si="0"/>
        <v>22</v>
      </c>
      <c r="E19" s="5">
        <v>13</v>
      </c>
      <c r="F19" s="5">
        <v>8</v>
      </c>
      <c r="G19" s="5"/>
      <c r="H19" s="5">
        <v>14</v>
      </c>
    </row>
    <row r="20" spans="1:8" ht="18.75">
      <c r="A20" s="3">
        <v>4</v>
      </c>
      <c r="B20" s="4" t="s">
        <v>33</v>
      </c>
      <c r="C20" s="3" t="s">
        <v>2</v>
      </c>
      <c r="D20" s="3">
        <f t="shared" si="0"/>
        <v>105</v>
      </c>
      <c r="E20" s="5">
        <v>105</v>
      </c>
      <c r="F20" s="5">
        <v>100</v>
      </c>
      <c r="G20" s="5"/>
      <c r="H20" s="5">
        <v>5</v>
      </c>
    </row>
    <row r="21" spans="1:8" ht="18.75">
      <c r="A21" s="3">
        <v>5</v>
      </c>
      <c r="B21" s="4" t="s">
        <v>34</v>
      </c>
      <c r="C21" s="3" t="s">
        <v>35</v>
      </c>
      <c r="D21" s="3">
        <f t="shared" si="0"/>
        <v>105</v>
      </c>
      <c r="E21" s="5">
        <v>105</v>
      </c>
      <c r="F21" s="5">
        <v>100</v>
      </c>
      <c r="G21" s="5"/>
      <c r="H21" s="5">
        <v>5</v>
      </c>
    </row>
    <row r="22" spans="1:8" ht="18.75">
      <c r="A22" s="1" t="s">
        <v>36</v>
      </c>
      <c r="B22" s="2" t="s">
        <v>37</v>
      </c>
      <c r="C22" s="3"/>
      <c r="D22" s="3"/>
      <c r="E22" s="5"/>
      <c r="F22" s="5"/>
      <c r="G22" s="5"/>
      <c r="H22" s="5"/>
    </row>
    <row r="23" spans="1:8" ht="18.75">
      <c r="A23" s="3">
        <v>7</v>
      </c>
      <c r="B23" s="4" t="s">
        <v>38</v>
      </c>
      <c r="C23" s="3" t="s">
        <v>39</v>
      </c>
      <c r="D23" s="3">
        <f t="shared" si="0"/>
        <v>14</v>
      </c>
      <c r="E23" s="5">
        <v>4</v>
      </c>
      <c r="F23" s="5">
        <v>2</v>
      </c>
      <c r="G23" s="5"/>
      <c r="H23" s="5">
        <v>12</v>
      </c>
    </row>
    <row r="24" spans="1:8" ht="18.75">
      <c r="A24" s="3">
        <v>8</v>
      </c>
      <c r="B24" s="4" t="s">
        <v>40</v>
      </c>
      <c r="C24" s="3" t="s">
        <v>35</v>
      </c>
      <c r="D24" s="3">
        <f t="shared" si="0"/>
        <v>32</v>
      </c>
      <c r="E24" s="5">
        <v>18</v>
      </c>
      <c r="F24" s="5">
        <v>8</v>
      </c>
      <c r="G24" s="5"/>
      <c r="H24" s="5">
        <v>24</v>
      </c>
    </row>
    <row r="25" spans="1:8" ht="18.75">
      <c r="A25" s="3">
        <v>9</v>
      </c>
      <c r="B25" s="4" t="s">
        <v>41</v>
      </c>
      <c r="C25" s="3" t="s">
        <v>35</v>
      </c>
      <c r="D25" s="3">
        <f t="shared" si="0"/>
        <v>43</v>
      </c>
      <c r="E25" s="5">
        <v>24</v>
      </c>
      <c r="F25" s="5">
        <v>10</v>
      </c>
      <c r="G25" s="5"/>
      <c r="H25" s="5">
        <v>33</v>
      </c>
    </row>
    <row r="26" spans="1:8" ht="18.75">
      <c r="A26" s="3">
        <v>10</v>
      </c>
      <c r="B26" s="4" t="s">
        <v>42</v>
      </c>
      <c r="C26" s="3" t="s">
        <v>43</v>
      </c>
      <c r="D26" s="3">
        <f t="shared" si="0"/>
        <v>3</v>
      </c>
      <c r="E26" s="5">
        <v>2</v>
      </c>
      <c r="F26" s="5">
        <v>2</v>
      </c>
      <c r="G26" s="5"/>
      <c r="H26" s="5">
        <v>1</v>
      </c>
    </row>
    <row r="27" spans="1:8" ht="18.75">
      <c r="A27" s="1" t="s">
        <v>36</v>
      </c>
      <c r="B27" s="2" t="s">
        <v>44</v>
      </c>
      <c r="C27" s="3"/>
      <c r="D27" s="3"/>
      <c r="E27" s="5"/>
      <c r="F27" s="5"/>
      <c r="G27" s="5"/>
      <c r="H27" s="5"/>
    </row>
    <row r="28" spans="1:8" ht="18.75">
      <c r="A28" s="3">
        <v>12</v>
      </c>
      <c r="B28" s="4" t="s">
        <v>45</v>
      </c>
      <c r="C28" s="3" t="s">
        <v>30</v>
      </c>
      <c r="D28" s="3">
        <f t="shared" si="0"/>
        <v>19</v>
      </c>
      <c r="E28" s="5">
        <v>7</v>
      </c>
      <c r="F28" s="5">
        <v>5</v>
      </c>
      <c r="G28" s="5">
        <v>5</v>
      </c>
      <c r="H28" s="5">
        <v>9</v>
      </c>
    </row>
    <row r="29" spans="1:8" ht="18.75">
      <c r="A29" s="1" t="s">
        <v>46</v>
      </c>
      <c r="B29" s="2" t="s">
        <v>47</v>
      </c>
      <c r="C29" s="3" t="s">
        <v>48</v>
      </c>
      <c r="D29" s="3">
        <f t="shared" si="0"/>
        <v>1.1000000000000001</v>
      </c>
      <c r="E29" s="5">
        <v>1</v>
      </c>
      <c r="F29" s="5">
        <v>0.5</v>
      </c>
      <c r="G29" s="5">
        <v>0.1</v>
      </c>
      <c r="H29" s="5">
        <v>0.5</v>
      </c>
    </row>
    <row r="30" spans="1:8" ht="18.75">
      <c r="A30" s="6"/>
      <c r="B30" s="6"/>
      <c r="C30" s="6"/>
      <c r="D30" s="7"/>
      <c r="E30" s="7"/>
      <c r="F30" s="7"/>
      <c r="G30" s="7"/>
      <c r="H30" s="7"/>
    </row>
    <row r="31" spans="1:8" ht="18.75">
      <c r="A31" s="7"/>
      <c r="B31" s="8"/>
      <c r="C31" s="7"/>
      <c r="D31" s="7"/>
      <c r="E31" s="7"/>
      <c r="F31" s="7"/>
      <c r="G31" s="7"/>
      <c r="H31" s="7"/>
    </row>
    <row r="32" spans="1:8" ht="18.75">
      <c r="A32" s="7"/>
      <c r="B32" s="8"/>
      <c r="C32" s="7"/>
      <c r="D32" s="7"/>
      <c r="E32" s="7"/>
      <c r="F32" s="7"/>
      <c r="G32" s="7"/>
      <c r="H32" s="7"/>
    </row>
    <row r="33" spans="1:8" ht="18.75">
      <c r="A33" s="7"/>
      <c r="B33" s="8"/>
      <c r="C33" s="7"/>
      <c r="D33" s="7"/>
      <c r="E33" s="7"/>
      <c r="F33" s="7"/>
      <c r="G33" s="7"/>
      <c r="H33" s="7"/>
    </row>
    <row r="34" spans="1:8" ht="18.75">
      <c r="A34" s="7"/>
      <c r="B34" s="8"/>
      <c r="C34" s="7"/>
      <c r="D34" s="7"/>
      <c r="E34" s="7"/>
      <c r="F34" s="7"/>
      <c r="G34" s="7"/>
      <c r="H34" s="7"/>
    </row>
    <row r="35" spans="1:8" ht="18.75">
      <c r="A35" s="7"/>
      <c r="B35" s="8"/>
      <c r="C35" s="7"/>
      <c r="D35" s="7"/>
      <c r="E35" s="7"/>
      <c r="F35" s="7"/>
      <c r="G35" s="7"/>
      <c r="H35" s="7"/>
    </row>
    <row r="36" spans="1:8" ht="18.75">
      <c r="A36" s="6"/>
      <c r="B36" s="7"/>
      <c r="C36" s="7"/>
      <c r="D36" s="7"/>
      <c r="E36" s="7"/>
      <c r="F36" s="7"/>
      <c r="G36" s="7"/>
      <c r="H36" s="7"/>
    </row>
    <row r="37" spans="1:8" ht="18.75">
      <c r="A37" s="7"/>
      <c r="B37" s="8"/>
      <c r="C37" s="7"/>
      <c r="D37" s="7"/>
      <c r="E37" s="7"/>
      <c r="F37" s="7"/>
      <c r="G37" s="7"/>
      <c r="H37" s="7"/>
    </row>
    <row r="38" spans="1:8" ht="18.75">
      <c r="A38" s="7"/>
      <c r="B38" s="8"/>
      <c r="C38" s="7"/>
      <c r="D38" s="7"/>
      <c r="E38" s="7"/>
      <c r="F38" s="7"/>
      <c r="G38" s="7"/>
      <c r="H38" s="7"/>
    </row>
    <row r="39" spans="1:8" ht="18.75">
      <c r="A39" s="7"/>
      <c r="B39" s="8"/>
      <c r="C39" s="7"/>
      <c r="D39" s="7"/>
      <c r="E39" s="7"/>
      <c r="F39" s="7"/>
      <c r="G39" s="7"/>
      <c r="H39" s="7"/>
    </row>
    <row r="40" spans="1:8" ht="18.75">
      <c r="A40" s="7"/>
      <c r="B40" s="8"/>
      <c r="C40" s="7"/>
      <c r="D40" s="7"/>
      <c r="E40" s="7"/>
      <c r="F40" s="7"/>
      <c r="G40" s="7"/>
      <c r="H40" s="7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2B08B-CF52-443F-8A34-D1E765EDA586}">
  <dimension ref="A1:I18"/>
  <sheetViews>
    <sheetView workbookViewId="0">
      <selection activeCell="H6" sqref="H6"/>
    </sheetView>
  </sheetViews>
  <sheetFormatPr defaultRowHeight="15"/>
  <cols>
    <col min="2" max="2" width="33.28515625" customWidth="1"/>
    <col min="3" max="3" width="13" customWidth="1"/>
    <col min="6" max="6" width="39.140625" bestFit="1" customWidth="1"/>
  </cols>
  <sheetData>
    <row r="1" spans="1:9" ht="21" thickBot="1">
      <c r="A1" s="34" t="s">
        <v>107</v>
      </c>
    </row>
    <row r="2" spans="1:9" ht="19.5" thickBot="1">
      <c r="A2" s="133" t="s">
        <v>1</v>
      </c>
      <c r="B2" s="133" t="s">
        <v>108</v>
      </c>
      <c r="C2" s="133" t="s">
        <v>5</v>
      </c>
      <c r="D2" s="135" t="s">
        <v>109</v>
      </c>
      <c r="E2" s="136"/>
      <c r="F2" s="137"/>
      <c r="G2" s="135" t="s">
        <v>110</v>
      </c>
      <c r="H2" s="136"/>
      <c r="I2" s="137"/>
    </row>
    <row r="3" spans="1:9" ht="19.5" thickBot="1">
      <c r="A3" s="134"/>
      <c r="B3" s="134"/>
      <c r="C3" s="134"/>
      <c r="D3" s="36" t="s">
        <v>111</v>
      </c>
      <c r="E3" s="36" t="s">
        <v>112</v>
      </c>
      <c r="F3" s="36" t="s">
        <v>78</v>
      </c>
      <c r="G3" s="36" t="s">
        <v>111</v>
      </c>
      <c r="H3" s="37" t="s">
        <v>112</v>
      </c>
      <c r="I3" s="38" t="s">
        <v>78</v>
      </c>
    </row>
    <row r="4" spans="1:9" ht="19.5" thickBot="1">
      <c r="A4" s="35" t="s">
        <v>12</v>
      </c>
      <c r="B4" s="38" t="s">
        <v>26</v>
      </c>
      <c r="C4" s="38"/>
      <c r="D4" s="36"/>
      <c r="E4" s="36"/>
      <c r="F4" s="36"/>
      <c r="G4" s="36"/>
      <c r="H4" s="37"/>
      <c r="I4" s="38"/>
    </row>
    <row r="5" spans="1:9" ht="19.5" thickBot="1">
      <c r="A5" s="35"/>
      <c r="B5" s="38" t="s">
        <v>28</v>
      </c>
      <c r="C5" s="38"/>
      <c r="D5" s="36"/>
      <c r="E5" s="36"/>
      <c r="F5" s="36"/>
      <c r="G5" s="36"/>
      <c r="H5" s="37"/>
      <c r="I5" s="38"/>
    </row>
    <row r="6" spans="1:9" ht="19.5" thickBot="1">
      <c r="A6" s="39">
        <v>1</v>
      </c>
      <c r="B6" s="40" t="s">
        <v>113</v>
      </c>
      <c r="C6" s="41" t="s">
        <v>114</v>
      </c>
      <c r="D6" s="41">
        <f>F6-E6</f>
        <v>2</v>
      </c>
      <c r="E6" s="42">
        <v>5</v>
      </c>
      <c r="F6" s="41">
        <f>ChiLenhHCKT!E17</f>
        <v>7</v>
      </c>
      <c r="G6" s="41">
        <f>I6-H6</f>
        <v>2</v>
      </c>
      <c r="H6" s="42">
        <v>3</v>
      </c>
      <c r="I6" s="41">
        <f>ChiLenhHCKT!F17</f>
        <v>5</v>
      </c>
    </row>
    <row r="7" spans="1:9" ht="19.5" thickBot="1">
      <c r="A7" s="39">
        <v>2</v>
      </c>
      <c r="B7" s="40" t="s">
        <v>31</v>
      </c>
      <c r="C7" s="41" t="s">
        <v>35</v>
      </c>
      <c r="D7" s="41">
        <f t="shared" ref="D7:D18" si="0">F7-E7</f>
        <v>1</v>
      </c>
      <c r="E7" s="42">
        <v>2</v>
      </c>
      <c r="F7" s="41">
        <f>ChiLenhHCKT!E18</f>
        <v>3</v>
      </c>
      <c r="G7" s="41">
        <f t="shared" ref="G7:G18" si="1">I7-H7</f>
        <v>1</v>
      </c>
      <c r="H7" s="42">
        <v>1</v>
      </c>
      <c r="I7" s="41">
        <f>ChiLenhHCKT!F18</f>
        <v>2</v>
      </c>
    </row>
    <row r="8" spans="1:9" ht="19.5" thickBot="1">
      <c r="A8" s="39">
        <v>3</v>
      </c>
      <c r="B8" s="40" t="s">
        <v>115</v>
      </c>
      <c r="C8" s="41" t="s">
        <v>2</v>
      </c>
      <c r="D8" s="41">
        <f t="shared" si="0"/>
        <v>2</v>
      </c>
      <c r="E8" s="42">
        <v>11</v>
      </c>
      <c r="F8" s="41">
        <f>ChiLenhHCKT!E19</f>
        <v>13</v>
      </c>
      <c r="G8" s="41">
        <f t="shared" si="1"/>
        <v>3</v>
      </c>
      <c r="H8" s="42">
        <v>5</v>
      </c>
      <c r="I8" s="41">
        <f>ChiLenhHCKT!F19</f>
        <v>8</v>
      </c>
    </row>
    <row r="9" spans="1:9" ht="19.5" thickBot="1">
      <c r="A9" s="39">
        <v>4</v>
      </c>
      <c r="B9" s="40" t="s">
        <v>116</v>
      </c>
      <c r="C9" s="41" t="s">
        <v>2</v>
      </c>
      <c r="D9" s="41">
        <f t="shared" si="0"/>
        <v>5</v>
      </c>
      <c r="E9" s="42">
        <v>100</v>
      </c>
      <c r="F9" s="41">
        <f>ChiLenhHCKT!E20</f>
        <v>105</v>
      </c>
      <c r="G9" s="41">
        <f t="shared" si="1"/>
        <v>0</v>
      </c>
      <c r="H9" s="42">
        <v>100</v>
      </c>
      <c r="I9" s="41">
        <f>ChiLenhHCKT!F20</f>
        <v>100</v>
      </c>
    </row>
    <row r="10" spans="1:9" ht="19.5" thickBot="1">
      <c r="A10" s="39">
        <v>5</v>
      </c>
      <c r="B10" s="40" t="s">
        <v>117</v>
      </c>
      <c r="C10" s="41" t="s">
        <v>35</v>
      </c>
      <c r="D10" s="41">
        <f t="shared" si="0"/>
        <v>5</v>
      </c>
      <c r="E10" s="42">
        <v>100</v>
      </c>
      <c r="F10" s="41">
        <f>ChiLenhHCKT!E21</f>
        <v>105</v>
      </c>
      <c r="G10" s="41">
        <f t="shared" si="1"/>
        <v>0</v>
      </c>
      <c r="H10" s="42">
        <v>100</v>
      </c>
      <c r="I10" s="41">
        <f>ChiLenhHCKT!F21</f>
        <v>100</v>
      </c>
    </row>
    <row r="11" spans="1:9" ht="19.5" thickBot="1">
      <c r="A11" s="39"/>
      <c r="B11" s="38" t="s">
        <v>37</v>
      </c>
      <c r="C11" s="41"/>
      <c r="D11" s="41"/>
      <c r="E11" s="42"/>
      <c r="F11" s="41"/>
      <c r="G11" s="41"/>
      <c r="H11" s="42"/>
      <c r="I11" s="41"/>
    </row>
    <row r="12" spans="1:9" ht="19.5" thickBot="1">
      <c r="A12" s="39">
        <v>7</v>
      </c>
      <c r="B12" s="40" t="s">
        <v>38</v>
      </c>
      <c r="C12" s="41" t="s">
        <v>39</v>
      </c>
      <c r="D12" s="41">
        <f t="shared" si="0"/>
        <v>1</v>
      </c>
      <c r="E12" s="42">
        <v>3</v>
      </c>
      <c r="F12" s="41">
        <f>ChiLenhHCKT!E23</f>
        <v>4</v>
      </c>
      <c r="G12" s="41">
        <f t="shared" si="1"/>
        <v>1</v>
      </c>
      <c r="H12" s="42">
        <v>1</v>
      </c>
      <c r="I12" s="41">
        <f>ChiLenhHCKT!F23</f>
        <v>2</v>
      </c>
    </row>
    <row r="13" spans="1:9" ht="19.5" thickBot="1">
      <c r="A13" s="39">
        <v>8</v>
      </c>
      <c r="B13" s="40" t="s">
        <v>40</v>
      </c>
      <c r="C13" s="41" t="s">
        <v>35</v>
      </c>
      <c r="D13" s="41">
        <f t="shared" si="0"/>
        <v>2</v>
      </c>
      <c r="E13" s="42">
        <v>16</v>
      </c>
      <c r="F13" s="41">
        <f>ChiLenhHCKT!E24</f>
        <v>18</v>
      </c>
      <c r="G13" s="41">
        <f t="shared" si="1"/>
        <v>2</v>
      </c>
      <c r="H13" s="42">
        <v>6</v>
      </c>
      <c r="I13" s="41">
        <f>ChiLenhHCKT!F24</f>
        <v>8</v>
      </c>
    </row>
    <row r="14" spans="1:9" ht="19.5" thickBot="1">
      <c r="A14" s="39">
        <v>9</v>
      </c>
      <c r="B14" s="40" t="s">
        <v>41</v>
      </c>
      <c r="C14" s="41" t="s">
        <v>35</v>
      </c>
      <c r="D14" s="41">
        <f t="shared" si="0"/>
        <v>1</v>
      </c>
      <c r="E14" s="42">
        <v>23</v>
      </c>
      <c r="F14" s="41">
        <f>ChiLenhHCKT!E25</f>
        <v>24</v>
      </c>
      <c r="G14" s="41">
        <f t="shared" si="1"/>
        <v>1</v>
      </c>
      <c r="H14" s="42">
        <v>9</v>
      </c>
      <c r="I14" s="41">
        <f>ChiLenhHCKT!F25</f>
        <v>10</v>
      </c>
    </row>
    <row r="15" spans="1:9" ht="19.5" thickBot="1">
      <c r="A15" s="39">
        <v>10</v>
      </c>
      <c r="B15" s="40" t="s">
        <v>42</v>
      </c>
      <c r="C15" s="41" t="s">
        <v>118</v>
      </c>
      <c r="D15" s="41">
        <f t="shared" si="0"/>
        <v>1</v>
      </c>
      <c r="E15" s="42">
        <v>1</v>
      </c>
      <c r="F15" s="41">
        <f>ChiLenhHCKT!E26</f>
        <v>2</v>
      </c>
      <c r="G15" s="41">
        <f t="shared" si="1"/>
        <v>1</v>
      </c>
      <c r="H15" s="42">
        <v>1</v>
      </c>
      <c r="I15" s="41">
        <f>ChiLenhHCKT!F26</f>
        <v>2</v>
      </c>
    </row>
    <row r="16" spans="1:9" ht="19.5" thickBot="1">
      <c r="A16" s="39"/>
      <c r="B16" s="38" t="s">
        <v>119</v>
      </c>
      <c r="C16" s="41"/>
      <c r="D16" s="41"/>
      <c r="E16" s="42"/>
      <c r="F16" s="41"/>
      <c r="G16" s="41"/>
      <c r="H16" s="42"/>
      <c r="I16" s="41"/>
    </row>
    <row r="17" spans="1:9" ht="19.5" thickBot="1">
      <c r="A17" s="39">
        <v>11</v>
      </c>
      <c r="B17" s="40" t="s">
        <v>45</v>
      </c>
      <c r="C17" s="41" t="s">
        <v>30</v>
      </c>
      <c r="D17" s="41">
        <f t="shared" si="0"/>
        <v>2</v>
      </c>
      <c r="E17" s="42">
        <v>5</v>
      </c>
      <c r="F17" s="41">
        <f>ChiLenhHCKT!E28</f>
        <v>7</v>
      </c>
      <c r="G17" s="41">
        <f t="shared" si="1"/>
        <v>2</v>
      </c>
      <c r="H17" s="42">
        <v>3</v>
      </c>
      <c r="I17" s="41">
        <f>ChiLenhHCKT!F28</f>
        <v>5</v>
      </c>
    </row>
    <row r="18" spans="1:9" ht="19.5" thickBot="1">
      <c r="A18" s="39" t="s">
        <v>120</v>
      </c>
      <c r="B18" s="37" t="s">
        <v>47</v>
      </c>
      <c r="C18" s="41" t="s">
        <v>48</v>
      </c>
      <c r="D18" s="41">
        <f t="shared" si="0"/>
        <v>0.8</v>
      </c>
      <c r="E18" s="42">
        <v>0.2</v>
      </c>
      <c r="F18" s="41">
        <f>ChiLenhHCKT!E29</f>
        <v>1</v>
      </c>
      <c r="G18" s="41">
        <f t="shared" si="1"/>
        <v>0.2</v>
      </c>
      <c r="H18" s="42">
        <v>0.3</v>
      </c>
      <c r="I18" s="41">
        <f>ChiLenhHCKT!F29</f>
        <v>0.5</v>
      </c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FABC3-AE37-4707-AF46-9AA79383C458}">
  <dimension ref="A1:G30"/>
  <sheetViews>
    <sheetView workbookViewId="0">
      <selection activeCell="L25" sqref="L25"/>
    </sheetView>
  </sheetViews>
  <sheetFormatPr defaultRowHeight="15"/>
  <cols>
    <col min="2" max="2" width="33.7109375" customWidth="1"/>
    <col min="3" max="3" width="13.28515625" customWidth="1"/>
    <col min="4" max="4" width="7.85546875" bestFit="1" customWidth="1"/>
    <col min="6" max="6" width="6.140625" bestFit="1" customWidth="1"/>
  </cols>
  <sheetData>
    <row r="1" spans="1:7" ht="18.75">
      <c r="A1" s="7" t="s">
        <v>124</v>
      </c>
      <c r="B1" s="7"/>
      <c r="C1" s="7"/>
      <c r="D1" s="7"/>
      <c r="E1" s="7"/>
      <c r="F1" s="7"/>
      <c r="G1" s="7"/>
    </row>
    <row r="2" spans="1:7" ht="18.75">
      <c r="A2" s="138" t="s">
        <v>1</v>
      </c>
      <c r="B2" s="138" t="s">
        <v>125</v>
      </c>
      <c r="C2" s="138" t="s">
        <v>5</v>
      </c>
      <c r="D2" s="138" t="s">
        <v>121</v>
      </c>
      <c r="E2" s="138"/>
      <c r="F2" s="138"/>
      <c r="G2" s="138" t="s">
        <v>126</v>
      </c>
    </row>
    <row r="3" spans="1:7" ht="37.5">
      <c r="A3" s="138"/>
      <c r="B3" s="138"/>
      <c r="C3" s="138"/>
      <c r="D3" s="43" t="s">
        <v>122</v>
      </c>
      <c r="E3" s="43" t="s">
        <v>112</v>
      </c>
      <c r="F3" s="43" t="s">
        <v>123</v>
      </c>
      <c r="G3" s="138"/>
    </row>
    <row r="4" spans="1:7" ht="18.75">
      <c r="A4" s="43" t="s">
        <v>12</v>
      </c>
      <c r="B4" s="44" t="s">
        <v>127</v>
      </c>
      <c r="C4" s="45"/>
      <c r="D4" s="5"/>
      <c r="E4" s="5"/>
      <c r="F4" s="5"/>
      <c r="G4" s="5"/>
    </row>
    <row r="5" spans="1:7" ht="18.75">
      <c r="A5" s="45">
        <v>1</v>
      </c>
      <c r="B5" s="46" t="s">
        <v>128</v>
      </c>
      <c r="C5" s="45" t="s">
        <v>129</v>
      </c>
      <c r="D5" s="5">
        <v>0.15</v>
      </c>
      <c r="E5" s="5">
        <v>1</v>
      </c>
      <c r="F5" s="5">
        <f>D5+E5</f>
        <v>1.1499999999999999</v>
      </c>
      <c r="G5" s="5"/>
    </row>
    <row r="6" spans="1:7" ht="18.75">
      <c r="A6" s="45">
        <v>2</v>
      </c>
      <c r="B6" s="46" t="s">
        <v>130</v>
      </c>
      <c r="C6" s="45" t="s">
        <v>35</v>
      </c>
      <c r="D6" s="5">
        <v>0.15</v>
      </c>
      <c r="E6" s="5">
        <v>0.5</v>
      </c>
      <c r="F6" s="5">
        <f t="shared" ref="F6:F30" si="0">D6+E6</f>
        <v>0.65</v>
      </c>
      <c r="G6" s="5"/>
    </row>
    <row r="7" spans="1:7" ht="18.75">
      <c r="A7" s="45">
        <v>3</v>
      </c>
      <c r="B7" s="46" t="s">
        <v>131</v>
      </c>
      <c r="C7" s="45" t="s">
        <v>35</v>
      </c>
      <c r="D7" s="5">
        <v>0.15</v>
      </c>
      <c r="E7" s="5">
        <v>0.5</v>
      </c>
      <c r="F7" s="5">
        <f t="shared" si="0"/>
        <v>0.65</v>
      </c>
      <c r="G7" s="5"/>
    </row>
    <row r="8" spans="1:7" ht="18.75">
      <c r="A8" s="45">
        <v>4</v>
      </c>
      <c r="B8" s="46" t="s">
        <v>23</v>
      </c>
      <c r="C8" s="45" t="s">
        <v>35</v>
      </c>
      <c r="D8" s="5">
        <v>0.15</v>
      </c>
      <c r="E8" s="5">
        <v>0.33</v>
      </c>
      <c r="F8" s="5">
        <f t="shared" si="0"/>
        <v>0.48</v>
      </c>
      <c r="G8" s="5"/>
    </row>
    <row r="9" spans="1:7" ht="18.75">
      <c r="A9" s="45">
        <v>5</v>
      </c>
      <c r="B9" s="46" t="s">
        <v>22</v>
      </c>
      <c r="C9" s="45" t="s">
        <v>35</v>
      </c>
      <c r="D9" s="5">
        <v>0.1</v>
      </c>
      <c r="E9" s="5">
        <v>0.2</v>
      </c>
      <c r="F9" s="5">
        <f t="shared" si="0"/>
        <v>0.30000000000000004</v>
      </c>
      <c r="G9" s="5"/>
    </row>
    <row r="10" spans="1:7" ht="18.75">
      <c r="A10" s="45">
        <v>6</v>
      </c>
      <c r="B10" s="46" t="s">
        <v>132</v>
      </c>
      <c r="C10" s="45" t="s">
        <v>35</v>
      </c>
      <c r="D10" s="5">
        <v>0.1</v>
      </c>
      <c r="E10" s="5">
        <v>0.1</v>
      </c>
      <c r="F10" s="5">
        <f t="shared" si="0"/>
        <v>0.2</v>
      </c>
      <c r="G10" s="5"/>
    </row>
    <row r="11" spans="1:7" ht="18.75">
      <c r="A11" s="45">
        <v>7</v>
      </c>
      <c r="B11" s="46" t="s">
        <v>133</v>
      </c>
      <c r="C11" s="45" t="s">
        <v>35</v>
      </c>
      <c r="D11" s="5">
        <v>0.1</v>
      </c>
      <c r="E11" s="5">
        <v>0.1</v>
      </c>
      <c r="F11" s="5">
        <f t="shared" si="0"/>
        <v>0.2</v>
      </c>
      <c r="G11" s="5"/>
    </row>
    <row r="12" spans="1:7" ht="18.75">
      <c r="A12" s="45">
        <v>8</v>
      </c>
      <c r="B12" s="46" t="s">
        <v>134</v>
      </c>
      <c r="C12" s="45" t="s">
        <v>35</v>
      </c>
      <c r="D12" s="5">
        <v>0</v>
      </c>
      <c r="E12" s="5">
        <v>0</v>
      </c>
      <c r="F12" s="5">
        <v>0</v>
      </c>
      <c r="G12" s="5"/>
    </row>
    <row r="13" spans="1:7" ht="18.75">
      <c r="A13" s="45">
        <v>9</v>
      </c>
      <c r="B13" s="46" t="s">
        <v>135</v>
      </c>
      <c r="C13" s="45" t="s">
        <v>35</v>
      </c>
      <c r="D13" s="5">
        <v>0.15</v>
      </c>
      <c r="E13" s="5">
        <v>0.3</v>
      </c>
      <c r="F13" s="5">
        <f t="shared" si="0"/>
        <v>0.44999999999999996</v>
      </c>
      <c r="G13" s="5"/>
    </row>
    <row r="14" spans="1:7" ht="18.75">
      <c r="A14" s="45">
        <v>10</v>
      </c>
      <c r="B14" s="46" t="s">
        <v>0</v>
      </c>
      <c r="C14" s="45" t="s">
        <v>35</v>
      </c>
      <c r="D14" s="47">
        <v>100</v>
      </c>
      <c r="E14" s="5">
        <v>1444</v>
      </c>
      <c r="F14" s="47">
        <f t="shared" si="0"/>
        <v>1544</v>
      </c>
      <c r="G14" s="5"/>
    </row>
    <row r="15" spans="1:7" ht="18.75">
      <c r="A15" s="43" t="s">
        <v>25</v>
      </c>
      <c r="B15" s="44" t="s">
        <v>136</v>
      </c>
      <c r="C15" s="45"/>
      <c r="D15" s="5"/>
      <c r="E15" s="5"/>
      <c r="F15" s="5"/>
      <c r="G15" s="5"/>
    </row>
    <row r="16" spans="1:7" ht="18.75">
      <c r="A16" s="43" t="s">
        <v>27</v>
      </c>
      <c r="B16" s="44" t="s">
        <v>28</v>
      </c>
      <c r="C16" s="45"/>
      <c r="D16" s="5"/>
      <c r="E16" s="5"/>
      <c r="F16" s="5"/>
      <c r="G16" s="5"/>
    </row>
    <row r="17" spans="1:7" ht="18.75">
      <c r="A17" s="45">
        <v>1</v>
      </c>
      <c r="B17" s="46" t="s">
        <v>137</v>
      </c>
      <c r="C17" s="45" t="s">
        <v>114</v>
      </c>
      <c r="D17" s="5">
        <v>2</v>
      </c>
      <c r="E17" s="5">
        <v>3</v>
      </c>
      <c r="F17" s="5">
        <f t="shared" si="0"/>
        <v>5</v>
      </c>
      <c r="G17" s="5"/>
    </row>
    <row r="18" spans="1:7" ht="18.75">
      <c r="A18" s="45">
        <v>2</v>
      </c>
      <c r="B18" s="46" t="s">
        <v>31</v>
      </c>
      <c r="C18" s="45" t="s">
        <v>114</v>
      </c>
      <c r="D18" s="5">
        <v>1</v>
      </c>
      <c r="E18" s="5">
        <v>1</v>
      </c>
      <c r="F18" s="5">
        <f t="shared" si="0"/>
        <v>2</v>
      </c>
      <c r="G18" s="5"/>
    </row>
    <row r="19" spans="1:7" ht="18.75">
      <c r="A19" s="45">
        <v>3</v>
      </c>
      <c r="B19" s="46" t="s">
        <v>138</v>
      </c>
      <c r="C19" s="45" t="s">
        <v>139</v>
      </c>
      <c r="D19" s="5">
        <v>1</v>
      </c>
      <c r="E19" s="5">
        <v>1</v>
      </c>
      <c r="F19" s="5">
        <f t="shared" si="0"/>
        <v>2</v>
      </c>
      <c r="G19" s="5"/>
    </row>
    <row r="20" spans="1:7" ht="18.75">
      <c r="A20" s="45">
        <v>4</v>
      </c>
      <c r="B20" s="46" t="s">
        <v>116</v>
      </c>
      <c r="C20" s="45" t="s">
        <v>2</v>
      </c>
      <c r="D20" s="5"/>
      <c r="E20" s="5">
        <v>100</v>
      </c>
      <c r="F20" s="5">
        <f t="shared" si="0"/>
        <v>100</v>
      </c>
      <c r="G20" s="5"/>
    </row>
    <row r="21" spans="1:7" ht="18.75">
      <c r="A21" s="45">
        <v>5</v>
      </c>
      <c r="B21" s="46" t="s">
        <v>117</v>
      </c>
      <c r="C21" s="45" t="s">
        <v>35</v>
      </c>
      <c r="D21" s="5"/>
      <c r="E21" s="5">
        <v>100</v>
      </c>
      <c r="F21" s="5">
        <f t="shared" si="0"/>
        <v>100</v>
      </c>
      <c r="G21" s="5"/>
    </row>
    <row r="22" spans="1:7" ht="18.75">
      <c r="A22" s="43" t="s">
        <v>36</v>
      </c>
      <c r="B22" s="44" t="s">
        <v>37</v>
      </c>
      <c r="C22" s="45"/>
      <c r="D22" s="5"/>
      <c r="E22" s="5"/>
      <c r="F22" s="5"/>
      <c r="G22" s="5"/>
    </row>
    <row r="23" spans="1:7" ht="18.75">
      <c r="A23" s="45">
        <v>6</v>
      </c>
      <c r="B23" s="46" t="s">
        <v>38</v>
      </c>
      <c r="C23" s="45" t="s">
        <v>39</v>
      </c>
      <c r="D23" s="5">
        <v>1</v>
      </c>
      <c r="E23" s="5">
        <v>1</v>
      </c>
      <c r="F23" s="5">
        <f t="shared" si="0"/>
        <v>2</v>
      </c>
      <c r="G23" s="5"/>
    </row>
    <row r="24" spans="1:7" ht="18.75">
      <c r="A24" s="45">
        <v>7</v>
      </c>
      <c r="B24" s="46" t="s">
        <v>40</v>
      </c>
      <c r="C24" s="45" t="s">
        <v>35</v>
      </c>
      <c r="D24" s="5">
        <v>2</v>
      </c>
      <c r="E24" s="5">
        <v>5</v>
      </c>
      <c r="F24" s="5">
        <f t="shared" si="0"/>
        <v>7</v>
      </c>
      <c r="G24" s="5"/>
    </row>
    <row r="25" spans="1:7" ht="18.75">
      <c r="A25" s="45">
        <v>8</v>
      </c>
      <c r="B25" s="46" t="s">
        <v>41</v>
      </c>
      <c r="C25" s="45" t="s">
        <v>35</v>
      </c>
      <c r="D25" s="5">
        <v>1</v>
      </c>
      <c r="E25" s="5">
        <v>8</v>
      </c>
      <c r="F25" s="5">
        <f t="shared" si="0"/>
        <v>9</v>
      </c>
      <c r="G25" s="5"/>
    </row>
    <row r="26" spans="1:7" ht="18.75">
      <c r="A26" s="45">
        <v>9</v>
      </c>
      <c r="B26" s="46" t="s">
        <v>42</v>
      </c>
      <c r="C26" s="45" t="s">
        <v>118</v>
      </c>
      <c r="D26" s="5"/>
      <c r="E26" s="5">
        <v>1</v>
      </c>
      <c r="F26" s="5">
        <f t="shared" si="0"/>
        <v>1</v>
      </c>
      <c r="G26" s="5"/>
    </row>
    <row r="27" spans="1:7" ht="18.75">
      <c r="A27" s="43" t="s">
        <v>140</v>
      </c>
      <c r="B27" s="44" t="s">
        <v>119</v>
      </c>
      <c r="C27" s="45"/>
      <c r="D27" s="5"/>
      <c r="E27" s="5"/>
      <c r="F27" s="5"/>
      <c r="G27" s="5"/>
    </row>
    <row r="28" spans="1:7" ht="18.75">
      <c r="A28" s="45">
        <v>10</v>
      </c>
      <c r="B28" s="46" t="s">
        <v>45</v>
      </c>
      <c r="C28" s="45" t="s">
        <v>30</v>
      </c>
      <c r="D28" s="5">
        <v>2</v>
      </c>
      <c r="E28" s="5">
        <v>3</v>
      </c>
      <c r="F28" s="5">
        <f t="shared" si="0"/>
        <v>5</v>
      </c>
      <c r="G28" s="5"/>
    </row>
    <row r="29" spans="1:7" ht="18.75">
      <c r="A29" s="43" t="s">
        <v>46</v>
      </c>
      <c r="B29" s="44" t="s">
        <v>141</v>
      </c>
      <c r="C29" s="45"/>
      <c r="D29" s="5"/>
      <c r="E29" s="5"/>
      <c r="F29" s="5"/>
      <c r="G29" s="5"/>
    </row>
    <row r="30" spans="1:7" ht="18.75">
      <c r="A30" s="45">
        <v>1</v>
      </c>
      <c r="B30" s="46" t="s">
        <v>142</v>
      </c>
      <c r="C30" s="45" t="s">
        <v>48</v>
      </c>
      <c r="D30" s="5">
        <v>0.1</v>
      </c>
      <c r="E30" s="5">
        <v>0.1</v>
      </c>
      <c r="F30" s="5">
        <f t="shared" si="0"/>
        <v>0.2</v>
      </c>
      <c r="G30" s="5"/>
    </row>
  </sheetData>
  <mergeCells count="5">
    <mergeCell ref="A2:A3"/>
    <mergeCell ref="B2:B3"/>
    <mergeCell ref="C2:C3"/>
    <mergeCell ref="D2:F2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F011A-DD43-4CD1-8C82-1063D91EB813}">
  <dimension ref="A1:AX89"/>
  <sheetViews>
    <sheetView tabSelected="1" topLeftCell="F1" workbookViewId="0">
      <selection activeCell="F7" sqref="A7:XFD7"/>
    </sheetView>
  </sheetViews>
  <sheetFormatPr defaultColWidth="8.85546875" defaultRowHeight="15"/>
  <cols>
    <col min="1" max="1" width="17" style="48" bestFit="1" customWidth="1"/>
    <col min="2" max="2" width="6" style="48" customWidth="1"/>
    <col min="3" max="3" width="6.5703125" style="48" customWidth="1"/>
    <col min="4" max="4" width="7.28515625" style="48" customWidth="1"/>
    <col min="5" max="5" width="7" style="48" customWidth="1"/>
    <col min="6" max="6" width="9.7109375" style="48" customWidth="1"/>
    <col min="7" max="7" width="31.140625" style="48" bestFit="1" customWidth="1"/>
    <col min="8" max="8" width="7.5703125" style="48" bestFit="1" customWidth="1"/>
    <col min="9" max="9" width="7.5703125" style="48" customWidth="1"/>
    <col min="10" max="10" width="8.42578125" style="48" bestFit="1" customWidth="1"/>
    <col min="11" max="12" width="8.42578125" style="48" customWidth="1"/>
    <col min="13" max="13" width="7.7109375" style="48" customWidth="1"/>
    <col min="14" max="14" width="8.28515625" style="48" bestFit="1" customWidth="1"/>
    <col min="15" max="17" width="8.28515625" style="48" customWidth="1"/>
    <col min="18" max="18" width="8.5703125" style="48" customWidth="1"/>
    <col min="19" max="25" width="8.42578125" style="48" customWidth="1"/>
    <col min="26" max="28" width="9" style="48" customWidth="1"/>
    <col min="29" max="29" width="22.5703125" style="48" bestFit="1" customWidth="1"/>
    <col min="30" max="30" width="8.85546875" style="48"/>
    <col min="31" max="31" width="17.28515625" style="48" bestFit="1" customWidth="1"/>
    <col min="32" max="32" width="16.140625" style="48" bestFit="1" customWidth="1"/>
    <col min="33" max="33" width="7.7109375" style="48" bestFit="1" customWidth="1"/>
    <col min="34" max="34" width="6.42578125" style="48" customWidth="1"/>
    <col min="35" max="35" width="7.5703125" style="48" bestFit="1" customWidth="1"/>
    <col min="36" max="36" width="8.28515625" style="48" customWidth="1"/>
    <col min="37" max="37" width="6.7109375" style="48" customWidth="1"/>
    <col min="38" max="38" width="8" style="48" customWidth="1"/>
    <col min="39" max="42" width="3.7109375" style="48" bestFit="1" customWidth="1"/>
    <col min="43" max="49" width="8.85546875" style="48"/>
    <col min="50" max="50" width="9.140625" style="114" customWidth="1"/>
    <col min="51" max="16384" width="8.85546875" style="48"/>
  </cols>
  <sheetData>
    <row r="1" spans="1:50" ht="18.75">
      <c r="A1" s="155" t="s">
        <v>160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E1" s="48" t="s">
        <v>143</v>
      </c>
    </row>
    <row r="3" spans="1:50" ht="14.45" customHeight="1">
      <c r="A3" s="148" t="s">
        <v>144</v>
      </c>
      <c r="B3" s="148" t="s">
        <v>5</v>
      </c>
      <c r="C3" s="148" t="s">
        <v>145</v>
      </c>
      <c r="D3" s="148" t="s">
        <v>146</v>
      </c>
      <c r="E3" s="148" t="s">
        <v>147</v>
      </c>
      <c r="F3" s="146" t="s">
        <v>148</v>
      </c>
      <c r="G3" s="150"/>
      <c r="H3" s="150"/>
      <c r="I3" s="150"/>
      <c r="J3" s="150"/>
      <c r="K3" s="147"/>
      <c r="L3" s="140" t="s">
        <v>121</v>
      </c>
      <c r="M3" s="141"/>
      <c r="N3" s="141"/>
      <c r="O3" s="141"/>
      <c r="P3" s="142"/>
      <c r="Q3" s="140" t="s">
        <v>149</v>
      </c>
      <c r="R3" s="142"/>
      <c r="S3" s="146" t="s">
        <v>150</v>
      </c>
      <c r="T3" s="150"/>
      <c r="U3" s="150"/>
      <c r="V3" s="150"/>
      <c r="W3" s="150"/>
      <c r="X3" s="150"/>
      <c r="Y3" s="147"/>
      <c r="Z3" s="139" t="s">
        <v>151</v>
      </c>
      <c r="AA3" s="139"/>
      <c r="AB3" s="139"/>
      <c r="AC3" s="139"/>
    </row>
    <row r="4" spans="1:50" ht="14.45" customHeight="1">
      <c r="A4" s="154"/>
      <c r="B4" s="154"/>
      <c r="C4" s="154"/>
      <c r="D4" s="154"/>
      <c r="E4" s="154"/>
      <c r="F4" s="148" t="s">
        <v>6</v>
      </c>
      <c r="G4" s="139" t="s">
        <v>9</v>
      </c>
      <c r="H4" s="139"/>
      <c r="I4" s="140" t="s">
        <v>152</v>
      </c>
      <c r="J4" s="141"/>
      <c r="K4" s="142"/>
      <c r="L4" s="146" t="s">
        <v>122</v>
      </c>
      <c r="M4" s="147"/>
      <c r="N4" s="146" t="s">
        <v>153</v>
      </c>
      <c r="O4" s="147"/>
      <c r="P4" s="151" t="s">
        <v>123</v>
      </c>
      <c r="Q4" s="156"/>
      <c r="R4" s="157"/>
      <c r="S4" s="146" t="s">
        <v>10</v>
      </c>
      <c r="T4" s="150"/>
      <c r="U4" s="150"/>
      <c r="V4" s="147"/>
      <c r="W4" s="139" t="s">
        <v>11</v>
      </c>
      <c r="X4" s="139"/>
      <c r="Y4" s="151" t="s">
        <v>123</v>
      </c>
      <c r="Z4" s="139" t="s">
        <v>154</v>
      </c>
      <c r="AA4" s="139" t="s">
        <v>155</v>
      </c>
      <c r="AB4" s="139" t="s">
        <v>156</v>
      </c>
      <c r="AC4" s="139" t="s">
        <v>157</v>
      </c>
    </row>
    <row r="5" spans="1:50">
      <c r="A5" s="154"/>
      <c r="B5" s="154"/>
      <c r="C5" s="154"/>
      <c r="D5" s="154"/>
      <c r="E5" s="154"/>
      <c r="F5" s="154"/>
      <c r="G5" s="148" t="s">
        <v>10</v>
      </c>
      <c r="H5" s="148" t="s">
        <v>11</v>
      </c>
      <c r="I5" s="143"/>
      <c r="J5" s="144"/>
      <c r="K5" s="145"/>
      <c r="L5" s="148" t="s">
        <v>158</v>
      </c>
      <c r="M5" s="148" t="s">
        <v>159</v>
      </c>
      <c r="N5" s="148" t="s">
        <v>158</v>
      </c>
      <c r="O5" s="148" t="s">
        <v>159</v>
      </c>
      <c r="P5" s="152"/>
      <c r="Q5" s="143"/>
      <c r="R5" s="145"/>
      <c r="S5" s="146" t="s">
        <v>122</v>
      </c>
      <c r="T5" s="147"/>
      <c r="U5" s="146" t="s">
        <v>153</v>
      </c>
      <c r="V5" s="147"/>
      <c r="W5" s="148" t="s">
        <v>122</v>
      </c>
      <c r="X5" s="148" t="s">
        <v>153</v>
      </c>
      <c r="Y5" s="152"/>
      <c r="Z5" s="139"/>
      <c r="AA5" s="139"/>
      <c r="AB5" s="139"/>
      <c r="AC5" s="139"/>
      <c r="AL5" s="49"/>
    </row>
    <row r="6" spans="1:50">
      <c r="A6" s="149"/>
      <c r="B6" s="149"/>
      <c r="C6" s="149"/>
      <c r="D6" s="149"/>
      <c r="E6" s="149"/>
      <c r="F6" s="149"/>
      <c r="G6" s="149"/>
      <c r="H6" s="149"/>
      <c r="I6" s="96" t="s">
        <v>122</v>
      </c>
      <c r="J6" s="96" t="s">
        <v>153</v>
      </c>
      <c r="K6" s="97" t="s">
        <v>123</v>
      </c>
      <c r="L6" s="149"/>
      <c r="M6" s="149"/>
      <c r="N6" s="149"/>
      <c r="O6" s="149"/>
      <c r="P6" s="153"/>
      <c r="Q6" s="96" t="s">
        <v>122</v>
      </c>
      <c r="R6" s="96" t="s">
        <v>153</v>
      </c>
      <c r="S6" s="96" t="s">
        <v>158</v>
      </c>
      <c r="T6" s="96" t="s">
        <v>159</v>
      </c>
      <c r="U6" s="96" t="s">
        <v>158</v>
      </c>
      <c r="V6" s="96" t="s">
        <v>159</v>
      </c>
      <c r="W6" s="149"/>
      <c r="X6" s="149"/>
      <c r="Y6" s="153"/>
      <c r="Z6" s="96"/>
      <c r="AA6" s="96"/>
      <c r="AB6" s="96"/>
      <c r="AC6" s="96"/>
      <c r="AL6" s="49"/>
    </row>
    <row r="7" spans="1:50" ht="15.75" customHeight="1">
      <c r="A7" s="81"/>
      <c r="B7" s="81"/>
      <c r="C7" s="76"/>
      <c r="D7" s="76"/>
      <c r="E7" s="76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98"/>
      <c r="AA7" s="98"/>
      <c r="AB7" s="98"/>
      <c r="AC7" s="98"/>
      <c r="AL7" s="49"/>
      <c r="AX7" s="126"/>
    </row>
    <row r="8" spans="1:50">
      <c r="A8" s="125"/>
      <c r="B8" s="125"/>
      <c r="C8" s="115"/>
      <c r="D8" s="115"/>
      <c r="E8" s="115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7"/>
      <c r="AA8" s="117"/>
      <c r="AB8" s="117"/>
      <c r="AC8" s="117"/>
      <c r="AL8" s="49"/>
      <c r="AX8"/>
    </row>
    <row r="9" spans="1:50">
      <c r="A9" s="75" t="s">
        <v>29</v>
      </c>
      <c r="B9" s="75" t="s">
        <v>161</v>
      </c>
      <c r="C9" s="76">
        <f>D9+E9</f>
        <v>1201.1999999999998</v>
      </c>
      <c r="D9" s="76">
        <f>1.2*QSTBKT!B6</f>
        <v>655.19999999999993</v>
      </c>
      <c r="E9" s="76">
        <f>1.2*QSTBKT!B8</f>
        <v>546</v>
      </c>
      <c r="F9" s="77">
        <f>ChiLenhHCKT!D17</f>
        <v>19</v>
      </c>
      <c r="G9" s="77">
        <f>ChiLenhHCKT!G17</f>
        <v>5</v>
      </c>
      <c r="H9" s="77">
        <f>ChiLenhHCKT!H17</f>
        <v>9</v>
      </c>
      <c r="I9" s="77">
        <f>PhanCapVCHC!G6</f>
        <v>2</v>
      </c>
      <c r="J9" s="77">
        <f>PhanCapVCHC!H6</f>
        <v>3</v>
      </c>
      <c r="K9" s="77">
        <f>ChiLenhHCKT!F17</f>
        <v>5</v>
      </c>
      <c r="L9" s="77">
        <f>TinhHinhVC!D17</f>
        <v>2</v>
      </c>
      <c r="M9" s="77">
        <v>0</v>
      </c>
      <c r="N9" s="77">
        <f>TinhHinhVC!E17</f>
        <v>3</v>
      </c>
      <c r="O9" s="50">
        <v>3</v>
      </c>
      <c r="P9" s="77"/>
      <c r="Q9" s="77">
        <f>PhanCapVCHC!D6</f>
        <v>2</v>
      </c>
      <c r="R9" s="77">
        <f>PhanCapVCHC!E6</f>
        <v>5</v>
      </c>
      <c r="S9" s="77">
        <f t="shared" ref="S9" si="0">Q9-L9</f>
        <v>0</v>
      </c>
      <c r="T9" s="77">
        <f t="shared" ref="T9" si="1">Q9-M9</f>
        <v>2</v>
      </c>
      <c r="U9" s="77">
        <f t="shared" ref="U9" si="2">G9+R9-N9</f>
        <v>7</v>
      </c>
      <c r="V9" s="77">
        <f t="shared" ref="V9" si="3">G9+R9-O9</f>
        <v>7</v>
      </c>
      <c r="W9" s="77">
        <f t="shared" ref="W9" si="4">I9-Q9</f>
        <v>0</v>
      </c>
      <c r="X9" s="77">
        <f t="shared" ref="X9" si="5">H9+J9-R9</f>
        <v>7</v>
      </c>
      <c r="Y9" s="77"/>
      <c r="Z9" s="51"/>
      <c r="AA9" s="51"/>
      <c r="AB9" s="51"/>
      <c r="AC9" s="51"/>
      <c r="AX9"/>
    </row>
    <row r="10" spans="1:50">
      <c r="A10" s="78"/>
      <c r="B10" s="75"/>
      <c r="C10" s="76"/>
      <c r="D10" s="79"/>
      <c r="E10" s="79"/>
      <c r="F10" s="77"/>
      <c r="G10" s="77"/>
      <c r="H10" s="77"/>
      <c r="I10" s="77"/>
      <c r="J10" s="77"/>
      <c r="K10" s="77"/>
      <c r="L10" s="77"/>
      <c r="M10" s="77"/>
      <c r="N10" s="77"/>
      <c r="O10" s="50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51"/>
      <c r="AA10" s="51"/>
      <c r="AB10" s="51"/>
      <c r="AC10" s="51"/>
      <c r="AX10"/>
    </row>
    <row r="11" spans="1:50">
      <c r="A11" s="78"/>
      <c r="B11" s="76"/>
      <c r="C11" s="76"/>
      <c r="D11" s="79"/>
      <c r="E11" s="79"/>
      <c r="F11" s="77"/>
      <c r="G11" s="77"/>
      <c r="H11" s="77"/>
      <c r="I11" s="77"/>
      <c r="J11" s="77"/>
      <c r="K11" s="77"/>
      <c r="L11" s="77"/>
      <c r="M11" s="77"/>
      <c r="N11" s="77"/>
      <c r="O11" s="50"/>
      <c r="P11" s="77"/>
      <c r="Q11" s="77"/>
      <c r="R11" s="77"/>
      <c r="S11" s="77"/>
      <c r="T11" s="80"/>
      <c r="U11" s="77"/>
      <c r="V11" s="80"/>
      <c r="W11" s="77"/>
      <c r="X11" s="77"/>
      <c r="Y11" s="77"/>
      <c r="Z11" s="51"/>
      <c r="AA11" s="51"/>
      <c r="AB11" s="51"/>
      <c r="AC11" s="51"/>
      <c r="AX11"/>
    </row>
    <row r="12" spans="1:50">
      <c r="A12" s="78"/>
      <c r="B12" s="76"/>
      <c r="C12" s="76"/>
      <c r="D12" s="79"/>
      <c r="E12" s="79"/>
      <c r="F12" s="77"/>
      <c r="G12" s="77"/>
      <c r="H12" s="77"/>
      <c r="I12" s="77"/>
      <c r="J12" s="77"/>
      <c r="K12" s="77"/>
      <c r="L12" s="77"/>
      <c r="M12" s="77"/>
      <c r="N12" s="77"/>
      <c r="O12" s="50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51"/>
      <c r="AA12" s="51"/>
      <c r="AB12" s="51"/>
      <c r="AC12" s="51"/>
      <c r="AX12"/>
    </row>
    <row r="13" spans="1:50">
      <c r="A13" s="81"/>
      <c r="B13" s="76"/>
      <c r="C13" s="76"/>
      <c r="D13" s="79"/>
      <c r="E13" s="79"/>
      <c r="F13" s="77"/>
      <c r="G13" s="77"/>
      <c r="H13" s="77"/>
      <c r="I13" s="77"/>
      <c r="J13" s="77"/>
      <c r="K13" s="77"/>
      <c r="L13" s="77"/>
      <c r="M13" s="77"/>
      <c r="N13" s="77"/>
      <c r="O13" s="50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51"/>
      <c r="AA13" s="51"/>
      <c r="AB13" s="51"/>
      <c r="AC13" s="51"/>
      <c r="AX13"/>
    </row>
    <row r="14" spans="1:50">
      <c r="A14" s="118"/>
      <c r="B14" s="118"/>
      <c r="C14" s="115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9"/>
      <c r="AA14" s="119"/>
      <c r="AB14" s="119"/>
      <c r="AC14" s="119"/>
      <c r="AX14"/>
    </row>
    <row r="15" spans="1:50">
      <c r="A15" s="78"/>
      <c r="B15" s="78"/>
      <c r="C15" s="76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50"/>
      <c r="P15" s="77"/>
      <c r="Q15" s="77"/>
      <c r="R15" s="77"/>
      <c r="S15" s="77"/>
      <c r="T15" s="80"/>
      <c r="U15" s="77"/>
      <c r="V15" s="80"/>
      <c r="W15" s="77"/>
      <c r="X15" s="77"/>
      <c r="Y15" s="77"/>
      <c r="Z15" s="51"/>
      <c r="AA15" s="51"/>
      <c r="AB15" s="51"/>
      <c r="AC15" s="51"/>
      <c r="AX15"/>
    </row>
    <row r="16" spans="1:50">
      <c r="A16" s="78"/>
      <c r="B16" s="78"/>
      <c r="C16" s="76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50"/>
      <c r="P16" s="77"/>
      <c r="Q16" s="77"/>
      <c r="R16" s="77"/>
      <c r="S16" s="77"/>
      <c r="T16" s="80"/>
      <c r="U16" s="77"/>
      <c r="V16" s="80"/>
      <c r="W16" s="77"/>
      <c r="X16" s="77"/>
      <c r="Y16" s="77"/>
      <c r="Z16" s="51"/>
      <c r="AA16" s="51"/>
      <c r="AB16" s="51"/>
      <c r="AC16" s="51"/>
      <c r="AX16"/>
    </row>
    <row r="17" spans="1:50">
      <c r="A17" s="78"/>
      <c r="B17" s="78"/>
      <c r="C17" s="76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50"/>
      <c r="P17" s="77"/>
      <c r="Q17" s="77"/>
      <c r="R17" s="77"/>
      <c r="S17" s="77"/>
      <c r="T17" s="80"/>
      <c r="U17" s="77"/>
      <c r="V17" s="80"/>
      <c r="W17" s="77"/>
      <c r="X17" s="77"/>
      <c r="Y17" s="77"/>
      <c r="Z17" s="51"/>
      <c r="AA17" s="51"/>
      <c r="AB17" s="51"/>
      <c r="AC17" s="51"/>
      <c r="AX17"/>
    </row>
    <row r="18" spans="1:50">
      <c r="A18" s="78"/>
      <c r="B18" s="78"/>
      <c r="C18" s="76"/>
      <c r="D18" s="79"/>
      <c r="E18" s="79"/>
      <c r="F18" s="77"/>
      <c r="G18" s="77"/>
      <c r="H18" s="77"/>
      <c r="I18" s="77"/>
      <c r="J18" s="77"/>
      <c r="K18" s="77"/>
      <c r="L18" s="77"/>
      <c r="M18" s="77"/>
      <c r="N18" s="77"/>
      <c r="O18" s="50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51"/>
      <c r="AA18" s="51"/>
      <c r="AB18" s="51"/>
      <c r="AC18" s="51"/>
      <c r="AX18"/>
    </row>
    <row r="19" spans="1:50">
      <c r="A19" s="118"/>
      <c r="B19" s="118"/>
      <c r="C19" s="115"/>
      <c r="D19" s="116"/>
      <c r="E19" s="116"/>
      <c r="F19" s="116"/>
      <c r="G19" s="116"/>
      <c r="H19" s="116"/>
      <c r="I19" s="116"/>
      <c r="J19" s="116"/>
      <c r="K19" s="116"/>
      <c r="L19" s="116"/>
      <c r="M19" s="120"/>
      <c r="N19" s="116"/>
      <c r="O19" s="116"/>
      <c r="P19" s="116"/>
      <c r="Q19" s="116"/>
      <c r="R19" s="116"/>
      <c r="S19" s="121"/>
      <c r="T19" s="116"/>
      <c r="U19" s="116"/>
      <c r="V19" s="116"/>
      <c r="W19" s="116"/>
      <c r="X19" s="116"/>
      <c r="Y19" s="116"/>
      <c r="Z19" s="119"/>
      <c r="AA19" s="119"/>
      <c r="AB19" s="119"/>
      <c r="AC19" s="119"/>
      <c r="AX19"/>
    </row>
    <row r="20" spans="1:50" ht="13.9" customHeight="1">
      <c r="A20" s="78"/>
      <c r="B20" s="78"/>
      <c r="C20" s="76"/>
      <c r="D20" s="79"/>
      <c r="E20" s="79"/>
      <c r="F20" s="77"/>
      <c r="G20" s="77"/>
      <c r="H20" s="77"/>
      <c r="I20" s="77"/>
      <c r="J20" s="77"/>
      <c r="K20" s="77"/>
      <c r="L20" s="77"/>
      <c r="M20" s="77"/>
      <c r="N20" s="77"/>
      <c r="O20" s="50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51"/>
      <c r="AA20" s="51"/>
      <c r="AB20" s="51"/>
      <c r="AC20" s="51"/>
      <c r="AE20" s="122"/>
      <c r="AX20"/>
    </row>
    <row r="21" spans="1:50" ht="13.9" customHeight="1">
      <c r="A21" s="118"/>
      <c r="B21" s="118"/>
      <c r="C21" s="79"/>
      <c r="D21" s="79"/>
      <c r="E21" s="79"/>
      <c r="F21" s="120"/>
      <c r="G21" s="120"/>
      <c r="H21" s="120"/>
      <c r="I21" s="120"/>
      <c r="J21" s="120"/>
      <c r="K21" s="120"/>
      <c r="L21" s="82"/>
      <c r="M21" s="82"/>
      <c r="N21" s="82"/>
      <c r="O21" s="123"/>
      <c r="P21" s="116"/>
      <c r="Q21" s="82"/>
      <c r="R21" s="77"/>
      <c r="S21" s="116"/>
      <c r="T21" s="124"/>
      <c r="U21" s="116"/>
      <c r="V21" s="124"/>
      <c r="W21" s="116"/>
      <c r="X21" s="116"/>
      <c r="Y21" s="116"/>
      <c r="Z21" s="51"/>
      <c r="AA21" s="51"/>
      <c r="AB21" s="51"/>
      <c r="AC21" s="51"/>
      <c r="AE21" s="122"/>
      <c r="AX21"/>
    </row>
    <row r="22" spans="1:50">
      <c r="A22" s="89"/>
      <c r="B22" s="89"/>
      <c r="C22" s="85"/>
      <c r="D22" s="85"/>
      <c r="E22" s="85"/>
      <c r="F22" s="87"/>
      <c r="G22" s="87"/>
      <c r="H22" s="87"/>
      <c r="I22" s="83"/>
      <c r="J22" s="87"/>
      <c r="K22" s="87"/>
      <c r="L22" s="83"/>
      <c r="M22" s="83"/>
      <c r="N22" s="87"/>
      <c r="O22" s="83"/>
      <c r="P22" s="87"/>
      <c r="Q22" s="83"/>
      <c r="R22" s="87"/>
      <c r="S22" s="83"/>
      <c r="T22" s="83"/>
      <c r="U22" s="87"/>
      <c r="V22" s="83"/>
      <c r="W22" s="83"/>
      <c r="X22" s="87"/>
      <c r="Y22" s="87"/>
      <c r="Z22" s="102"/>
      <c r="AA22" s="102"/>
      <c r="AB22" s="102"/>
      <c r="AC22" s="98"/>
      <c r="AE22" s="101"/>
    </row>
    <row r="23" spans="1:50">
      <c r="A23" s="84"/>
      <c r="B23" s="84"/>
      <c r="C23" s="85"/>
      <c r="D23" s="85"/>
      <c r="E23" s="85"/>
      <c r="F23" s="87"/>
      <c r="G23" s="87"/>
      <c r="H23" s="87"/>
      <c r="I23" s="83"/>
      <c r="J23" s="87"/>
      <c r="K23" s="87"/>
      <c r="L23" s="83"/>
      <c r="M23" s="83"/>
      <c r="N23" s="87"/>
      <c r="O23" s="83"/>
      <c r="P23" s="87"/>
      <c r="Q23" s="83"/>
      <c r="R23" s="87"/>
      <c r="S23" s="83"/>
      <c r="T23" s="83"/>
      <c r="U23" s="53"/>
      <c r="V23" s="83"/>
      <c r="W23" s="83"/>
      <c r="X23" s="87"/>
      <c r="Y23" s="87"/>
      <c r="Z23" s="98"/>
      <c r="AA23" s="98"/>
      <c r="AB23" s="98"/>
      <c r="AC23" s="98"/>
      <c r="AE23" s="52"/>
    </row>
    <row r="24" spans="1:50">
      <c r="A24" s="84"/>
      <c r="B24" s="84"/>
      <c r="C24" s="85"/>
      <c r="D24" s="85"/>
      <c r="E24" s="85"/>
      <c r="F24" s="53"/>
      <c r="G24" s="53"/>
      <c r="H24" s="53"/>
      <c r="I24" s="83"/>
      <c r="J24" s="53"/>
      <c r="K24" s="53"/>
      <c r="L24" s="83"/>
      <c r="M24" s="83"/>
      <c r="N24" s="53"/>
      <c r="O24" s="83"/>
      <c r="P24" s="53"/>
      <c r="Q24" s="83"/>
      <c r="R24" s="53"/>
      <c r="S24" s="83"/>
      <c r="T24" s="83"/>
      <c r="U24" s="53"/>
      <c r="V24" s="83"/>
      <c r="W24" s="83"/>
      <c r="X24" s="87"/>
      <c r="Y24" s="53"/>
      <c r="Z24" s="51"/>
      <c r="AA24" s="51"/>
      <c r="AB24" s="51"/>
      <c r="AC24" s="51"/>
      <c r="AE24" s="103"/>
    </row>
    <row r="25" spans="1:50">
      <c r="A25" s="86"/>
      <c r="B25" s="84"/>
      <c r="C25" s="85"/>
      <c r="D25" s="87"/>
      <c r="E25" s="87"/>
      <c r="F25" s="53"/>
      <c r="G25" s="53"/>
      <c r="H25" s="53"/>
      <c r="I25" s="83"/>
      <c r="J25" s="53"/>
      <c r="K25" s="53"/>
      <c r="L25" s="83"/>
      <c r="M25" s="83"/>
      <c r="N25" s="53"/>
      <c r="O25" s="83"/>
      <c r="P25" s="53"/>
      <c r="Q25" s="83"/>
      <c r="R25" s="53"/>
      <c r="S25" s="83"/>
      <c r="T25" s="83"/>
      <c r="U25" s="53"/>
      <c r="V25" s="83"/>
      <c r="W25" s="83"/>
      <c r="X25" s="87"/>
      <c r="Y25" s="53"/>
      <c r="Z25" s="51"/>
      <c r="AA25" s="51"/>
      <c r="AB25" s="51"/>
      <c r="AC25" s="51"/>
      <c r="AE25" s="55"/>
      <c r="AL25" s="104"/>
      <c r="AM25" s="104"/>
      <c r="AN25" s="104"/>
      <c r="AO25" s="104"/>
      <c r="AP25" s="104"/>
    </row>
    <row r="26" spans="1:50">
      <c r="A26" s="86"/>
      <c r="B26" s="85"/>
      <c r="C26" s="88"/>
      <c r="D26" s="87"/>
      <c r="E26" s="87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51"/>
      <c r="AA26" s="51"/>
      <c r="AB26" s="51"/>
      <c r="AC26" s="51"/>
      <c r="AE26" s="55"/>
      <c r="AL26" s="105"/>
      <c r="AM26" s="105"/>
      <c r="AN26" s="105"/>
      <c r="AO26" s="105"/>
      <c r="AP26" s="106"/>
    </row>
    <row r="27" spans="1:50">
      <c r="A27" s="86"/>
      <c r="B27" s="85"/>
      <c r="C27" s="85"/>
      <c r="D27" s="87"/>
      <c r="E27" s="87"/>
      <c r="F27" s="53"/>
      <c r="G27" s="53"/>
      <c r="H27" s="53"/>
      <c r="I27" s="83"/>
      <c r="J27" s="53"/>
      <c r="K27" s="53"/>
      <c r="L27" s="83"/>
      <c r="M27" s="83"/>
      <c r="N27" s="53"/>
      <c r="O27" s="83"/>
      <c r="P27" s="53"/>
      <c r="Q27" s="83"/>
      <c r="R27" s="53"/>
      <c r="S27" s="83"/>
      <c r="T27" s="83"/>
      <c r="U27" s="53"/>
      <c r="V27" s="83"/>
      <c r="W27" s="83"/>
      <c r="X27" s="87"/>
      <c r="Y27" s="53"/>
      <c r="Z27" s="51"/>
      <c r="AA27" s="51"/>
      <c r="AB27" s="51"/>
      <c r="AC27" s="51"/>
      <c r="AE27" s="55"/>
      <c r="AL27" s="54"/>
      <c r="AM27" s="54"/>
      <c r="AN27" s="54"/>
      <c r="AO27" s="54"/>
      <c r="AP27" s="54"/>
    </row>
    <row r="28" spans="1:50">
      <c r="A28" s="89"/>
      <c r="B28" s="85"/>
      <c r="C28" s="85"/>
      <c r="D28" s="87"/>
      <c r="E28" s="87"/>
      <c r="F28" s="53"/>
      <c r="G28" s="53"/>
      <c r="H28" s="53"/>
      <c r="I28" s="83"/>
      <c r="J28" s="53"/>
      <c r="K28" s="53"/>
      <c r="L28" s="83"/>
      <c r="M28" s="83"/>
      <c r="N28" s="53"/>
      <c r="O28" s="83"/>
      <c r="P28" s="53"/>
      <c r="Q28" s="83"/>
      <c r="R28" s="53"/>
      <c r="S28" s="83"/>
      <c r="T28" s="83"/>
      <c r="U28" s="53"/>
      <c r="V28" s="83"/>
      <c r="W28" s="83"/>
      <c r="X28" s="87"/>
      <c r="Y28" s="53"/>
      <c r="Z28" s="51"/>
      <c r="AA28" s="51"/>
      <c r="AB28" s="51"/>
      <c r="AC28" s="51"/>
      <c r="AE28" s="55"/>
      <c r="AL28" s="54"/>
      <c r="AM28" s="54"/>
      <c r="AN28" s="54"/>
      <c r="AO28" s="54"/>
      <c r="AP28" s="54"/>
    </row>
    <row r="29" spans="1:50">
      <c r="A29" s="86"/>
      <c r="B29" s="84"/>
      <c r="C29" s="85"/>
      <c r="D29" s="87"/>
      <c r="E29" s="87"/>
      <c r="F29" s="87"/>
      <c r="G29" s="87"/>
      <c r="H29" s="87"/>
      <c r="I29" s="83"/>
      <c r="J29" s="87"/>
      <c r="K29" s="53"/>
      <c r="L29" s="83"/>
      <c r="M29" s="83"/>
      <c r="N29" s="87"/>
      <c r="O29" s="83"/>
      <c r="P29" s="87"/>
      <c r="Q29" s="83"/>
      <c r="R29" s="87"/>
      <c r="S29" s="83"/>
      <c r="T29" s="83"/>
      <c r="U29" s="53"/>
      <c r="V29" s="83"/>
      <c r="W29" s="83"/>
      <c r="X29" s="87"/>
      <c r="Y29" s="87"/>
      <c r="Z29" s="100"/>
      <c r="AA29" s="100"/>
      <c r="AB29" s="100"/>
      <c r="AC29" s="100"/>
      <c r="AE29" s="55"/>
      <c r="AL29" s="54"/>
      <c r="AM29" s="54"/>
      <c r="AN29" s="54"/>
      <c r="AO29" s="54"/>
      <c r="AP29" s="54"/>
    </row>
    <row r="30" spans="1:50">
      <c r="A30" s="86"/>
      <c r="B30" s="86"/>
      <c r="C30" s="85"/>
      <c r="D30" s="87"/>
      <c r="E30" s="87"/>
      <c r="F30" s="50"/>
      <c r="G30" s="50"/>
      <c r="H30" s="50"/>
      <c r="I30" s="83"/>
      <c r="J30" s="50"/>
      <c r="K30" s="53"/>
      <c r="L30" s="83"/>
      <c r="M30" s="83"/>
      <c r="N30" s="50"/>
      <c r="O30" s="83"/>
      <c r="P30" s="53"/>
      <c r="Q30" s="83"/>
      <c r="R30" s="51"/>
      <c r="S30" s="83"/>
      <c r="T30" s="83"/>
      <c r="U30" s="53"/>
      <c r="V30" s="83"/>
      <c r="W30" s="83"/>
      <c r="X30" s="87"/>
      <c r="Y30" s="53"/>
      <c r="Z30" s="51"/>
      <c r="AA30" s="51"/>
      <c r="AB30" s="51"/>
      <c r="AC30" s="51"/>
      <c r="AE30" s="54"/>
      <c r="AL30" s="54"/>
      <c r="AM30" s="54"/>
      <c r="AN30" s="54"/>
      <c r="AO30" s="54"/>
      <c r="AP30" s="54"/>
    </row>
    <row r="31" spans="1:50">
      <c r="A31" s="86"/>
      <c r="B31" s="86"/>
      <c r="C31" s="85"/>
      <c r="D31" s="87"/>
      <c r="E31" s="87"/>
      <c r="F31" s="50"/>
      <c r="G31" s="50"/>
      <c r="H31" s="50"/>
      <c r="I31" s="83"/>
      <c r="J31" s="50"/>
      <c r="K31" s="53"/>
      <c r="L31" s="83"/>
      <c r="M31" s="83"/>
      <c r="N31" s="50"/>
      <c r="O31" s="83"/>
      <c r="P31" s="53"/>
      <c r="Q31" s="83"/>
      <c r="R31" s="51"/>
      <c r="S31" s="83"/>
      <c r="T31" s="83"/>
      <c r="U31" s="53"/>
      <c r="V31" s="83"/>
      <c r="W31" s="83"/>
      <c r="X31" s="87"/>
      <c r="Y31" s="53"/>
      <c r="Z31" s="51"/>
      <c r="AA31" s="51"/>
      <c r="AB31" s="51"/>
      <c r="AC31" s="51"/>
      <c r="AE31" s="54"/>
      <c r="AL31" s="54"/>
      <c r="AM31" s="54"/>
      <c r="AN31" s="54"/>
      <c r="AO31" s="54"/>
      <c r="AP31" s="54"/>
    </row>
    <row r="32" spans="1:50">
      <c r="A32" s="86"/>
      <c r="B32" s="86"/>
      <c r="C32" s="85"/>
      <c r="D32" s="87"/>
      <c r="E32" s="87"/>
      <c r="F32" s="50"/>
      <c r="G32" s="50"/>
      <c r="H32" s="50"/>
      <c r="I32" s="83"/>
      <c r="J32" s="50"/>
      <c r="K32" s="53"/>
      <c r="L32" s="83"/>
      <c r="M32" s="83"/>
      <c r="N32" s="50"/>
      <c r="O32" s="83"/>
      <c r="P32" s="53"/>
      <c r="Q32" s="83"/>
      <c r="R32" s="51"/>
      <c r="S32" s="83"/>
      <c r="T32" s="83"/>
      <c r="U32" s="53"/>
      <c r="V32" s="83"/>
      <c r="W32" s="83"/>
      <c r="X32" s="87"/>
      <c r="Y32" s="53"/>
      <c r="Z32" s="51"/>
      <c r="AA32" s="51"/>
      <c r="AB32" s="51"/>
      <c r="AC32" s="51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</row>
    <row r="33" spans="1:31">
      <c r="A33" s="86"/>
      <c r="B33" s="86"/>
      <c r="C33" s="85"/>
      <c r="D33" s="87"/>
      <c r="E33" s="87"/>
      <c r="F33" s="53"/>
      <c r="G33" s="53"/>
      <c r="H33" s="53"/>
      <c r="I33" s="83"/>
      <c r="J33" s="53"/>
      <c r="K33" s="53"/>
      <c r="L33" s="83"/>
      <c r="M33" s="83"/>
      <c r="N33" s="53"/>
      <c r="O33" s="83"/>
      <c r="P33" s="53"/>
      <c r="Q33" s="83"/>
      <c r="R33" s="53"/>
      <c r="S33" s="83"/>
      <c r="T33" s="83"/>
      <c r="U33" s="53"/>
      <c r="V33" s="83"/>
      <c r="W33" s="83"/>
      <c r="X33" s="87"/>
      <c r="Y33" s="53"/>
      <c r="Z33" s="51"/>
      <c r="AA33" s="51"/>
      <c r="AB33" s="51"/>
      <c r="AC33" s="51"/>
      <c r="AE33" s="101"/>
    </row>
    <row r="34" spans="1:31">
      <c r="A34" s="86"/>
      <c r="B34" s="84"/>
      <c r="C34" s="85"/>
      <c r="D34" s="87"/>
      <c r="E34" s="87"/>
      <c r="F34" s="87"/>
      <c r="G34" s="87"/>
      <c r="H34" s="87"/>
      <c r="I34" s="83"/>
      <c r="J34" s="87"/>
      <c r="K34" s="53"/>
      <c r="L34" s="83"/>
      <c r="M34" s="83"/>
      <c r="N34" s="87"/>
      <c r="O34" s="83"/>
      <c r="P34" s="87"/>
      <c r="Q34" s="83"/>
      <c r="R34" s="87"/>
      <c r="S34" s="83"/>
      <c r="T34" s="83"/>
      <c r="U34" s="53"/>
      <c r="V34" s="83"/>
      <c r="W34" s="83"/>
      <c r="X34" s="87"/>
      <c r="Y34" s="87"/>
      <c r="Z34" s="100"/>
      <c r="AA34" s="100"/>
      <c r="AB34" s="100"/>
      <c r="AC34" s="100"/>
      <c r="AE34" s="101"/>
    </row>
    <row r="35" spans="1:31">
      <c r="A35" s="86"/>
      <c r="B35" s="86"/>
      <c r="C35" s="85"/>
      <c r="D35" s="87"/>
      <c r="E35" s="87"/>
      <c r="F35" s="53"/>
      <c r="G35" s="53"/>
      <c r="H35" s="53"/>
      <c r="I35" s="83"/>
      <c r="J35" s="53"/>
      <c r="K35" s="53"/>
      <c r="L35" s="83"/>
      <c r="M35" s="83"/>
      <c r="N35" s="53"/>
      <c r="O35" s="83"/>
      <c r="P35" s="53"/>
      <c r="Q35" s="83"/>
      <c r="R35" s="53"/>
      <c r="S35" s="83"/>
      <c r="T35" s="83"/>
      <c r="U35" s="53"/>
      <c r="V35" s="83"/>
      <c r="W35" s="83"/>
      <c r="X35" s="87"/>
      <c r="Y35" s="53"/>
      <c r="Z35" s="51"/>
      <c r="AA35" s="51"/>
      <c r="AB35" s="51"/>
      <c r="AC35" s="51"/>
      <c r="AE35" s="101"/>
    </row>
    <row r="36" spans="1:31">
      <c r="A36" s="86"/>
      <c r="B36" s="84"/>
      <c r="C36" s="87"/>
      <c r="D36" s="87"/>
      <c r="E36" s="87"/>
      <c r="F36" s="50"/>
      <c r="G36" s="50"/>
      <c r="H36" s="50"/>
      <c r="I36" s="83"/>
      <c r="J36" s="50"/>
      <c r="K36" s="53"/>
      <c r="L36" s="83"/>
      <c r="M36" s="83"/>
      <c r="N36" s="50"/>
      <c r="O36" s="83"/>
      <c r="P36" s="53"/>
      <c r="Q36" s="83"/>
      <c r="R36" s="51"/>
      <c r="S36" s="83"/>
      <c r="T36" s="83"/>
      <c r="U36" s="53"/>
      <c r="V36" s="83"/>
      <c r="W36" s="83"/>
      <c r="X36" s="87"/>
      <c r="Y36" s="87"/>
      <c r="Z36" s="51"/>
      <c r="AA36" s="51"/>
      <c r="AB36" s="51"/>
      <c r="AC36" s="51"/>
      <c r="AE36" s="101"/>
    </row>
    <row r="37" spans="1:31">
      <c r="A37" s="60"/>
      <c r="B37" s="60"/>
      <c r="C37" s="57"/>
      <c r="D37" s="57"/>
      <c r="E37" s="57"/>
      <c r="F37" s="56"/>
      <c r="G37" s="56"/>
      <c r="H37" s="56"/>
      <c r="I37" s="90"/>
      <c r="J37" s="56"/>
      <c r="K37" s="56"/>
      <c r="L37" s="90"/>
      <c r="M37" s="90"/>
      <c r="N37" s="56"/>
      <c r="O37" s="90"/>
      <c r="P37" s="56"/>
      <c r="Q37" s="90"/>
      <c r="R37" s="56"/>
      <c r="S37" s="90"/>
      <c r="T37" s="90"/>
      <c r="U37" s="56"/>
      <c r="V37" s="90"/>
      <c r="W37" s="90"/>
      <c r="X37" s="56"/>
      <c r="Y37" s="56"/>
      <c r="Z37" s="98"/>
      <c r="AA37" s="98"/>
      <c r="AB37" s="98"/>
      <c r="AC37" s="98"/>
      <c r="AE37" s="101"/>
    </row>
    <row r="38" spans="1:31" ht="15.75">
      <c r="A38" s="91"/>
      <c r="B38" s="91"/>
      <c r="C38" s="57"/>
      <c r="D38" s="57"/>
      <c r="E38" s="57"/>
      <c r="F38" s="56"/>
      <c r="G38" s="56"/>
      <c r="H38" s="56"/>
      <c r="I38" s="90"/>
      <c r="J38" s="56"/>
      <c r="K38" s="56"/>
      <c r="L38" s="90"/>
      <c r="M38" s="90"/>
      <c r="N38" s="56"/>
      <c r="O38" s="90"/>
      <c r="P38" s="56"/>
      <c r="Q38" s="90"/>
      <c r="R38" s="56"/>
      <c r="S38" s="90"/>
      <c r="T38" s="90"/>
      <c r="U38" s="56"/>
      <c r="V38" s="90"/>
      <c r="W38" s="90"/>
      <c r="X38" s="56"/>
      <c r="Y38" s="56"/>
      <c r="Z38" s="98"/>
      <c r="AA38" s="98"/>
      <c r="AB38" s="98"/>
      <c r="AC38" s="98"/>
      <c r="AE38" s="25"/>
    </row>
    <row r="39" spans="1:31" ht="15.75">
      <c r="A39" s="91"/>
      <c r="B39" s="91"/>
      <c r="C39" s="57"/>
      <c r="D39" s="57"/>
      <c r="E39" s="57"/>
      <c r="F39" s="92"/>
      <c r="G39" s="92"/>
      <c r="H39" s="92"/>
      <c r="I39" s="90"/>
      <c r="J39" s="92"/>
      <c r="K39" s="56"/>
      <c r="L39" s="90"/>
      <c r="M39" s="90"/>
      <c r="N39" s="92"/>
      <c r="O39" s="90"/>
      <c r="P39" s="92"/>
      <c r="Q39" s="90"/>
      <c r="R39" s="92"/>
      <c r="S39" s="90"/>
      <c r="T39" s="90"/>
      <c r="U39" s="92"/>
      <c r="V39" s="90"/>
      <c r="W39" s="90"/>
      <c r="X39" s="56"/>
      <c r="Y39" s="92"/>
      <c r="Z39" s="51"/>
      <c r="AA39" s="51"/>
      <c r="AB39" s="51"/>
      <c r="AC39" s="51"/>
      <c r="AE39" s="25"/>
    </row>
    <row r="40" spans="1:31" ht="15.75">
      <c r="A40" s="58"/>
      <c r="B40" s="91"/>
      <c r="C40" s="57"/>
      <c r="D40" s="56"/>
      <c r="E40" s="56"/>
      <c r="F40" s="92"/>
      <c r="G40" s="92"/>
      <c r="H40" s="92"/>
      <c r="I40" s="90"/>
      <c r="J40" s="92"/>
      <c r="K40" s="56"/>
      <c r="L40" s="90"/>
      <c r="M40" s="90"/>
      <c r="N40" s="92"/>
      <c r="O40" s="90"/>
      <c r="P40" s="92"/>
      <c r="Q40" s="90"/>
      <c r="R40" s="92"/>
      <c r="S40" s="90"/>
      <c r="T40" s="90"/>
      <c r="U40" s="92"/>
      <c r="V40" s="90"/>
      <c r="W40" s="90"/>
      <c r="X40" s="56"/>
      <c r="Y40" s="92"/>
      <c r="Z40" s="51"/>
      <c r="AA40" s="51"/>
      <c r="AB40" s="51"/>
      <c r="AC40" s="51"/>
      <c r="AE40" s="25"/>
    </row>
    <row r="41" spans="1:31" ht="15.75">
      <c r="A41" s="58"/>
      <c r="B41" s="57"/>
      <c r="C41" s="59"/>
      <c r="D41" s="56"/>
      <c r="E41" s="56"/>
      <c r="F41" s="92"/>
      <c r="G41" s="92"/>
      <c r="H41" s="92"/>
      <c r="I41" s="90"/>
      <c r="J41" s="92"/>
      <c r="K41" s="56"/>
      <c r="L41" s="90"/>
      <c r="M41" s="90"/>
      <c r="N41" s="92"/>
      <c r="O41" s="90"/>
      <c r="P41" s="92"/>
      <c r="Q41" s="90"/>
      <c r="R41" s="92"/>
      <c r="S41" s="90"/>
      <c r="T41" s="90"/>
      <c r="U41" s="90"/>
      <c r="V41" s="90"/>
      <c r="W41" s="90"/>
      <c r="X41" s="107"/>
      <c r="Y41" s="92"/>
      <c r="Z41" s="51"/>
      <c r="AA41" s="51"/>
      <c r="AB41" s="51"/>
      <c r="AC41" s="51"/>
      <c r="AE41" s="25"/>
    </row>
    <row r="42" spans="1:31" ht="15.75">
      <c r="A42" s="58"/>
      <c r="B42" s="57"/>
      <c r="C42" s="57"/>
      <c r="D42" s="56"/>
      <c r="E42" s="56"/>
      <c r="F42" s="92"/>
      <c r="G42" s="92"/>
      <c r="H42" s="92"/>
      <c r="I42" s="90"/>
      <c r="J42" s="92"/>
      <c r="K42" s="92"/>
      <c r="L42" s="90"/>
      <c r="M42" s="90"/>
      <c r="N42" s="92"/>
      <c r="O42" s="90"/>
      <c r="P42" s="92"/>
      <c r="Q42" s="90"/>
      <c r="R42" s="92"/>
      <c r="S42" s="90"/>
      <c r="T42" s="90"/>
      <c r="U42" s="92"/>
      <c r="V42" s="90"/>
      <c r="W42" s="90"/>
      <c r="X42" s="56"/>
      <c r="Y42" s="92"/>
      <c r="Z42" s="51"/>
      <c r="AA42" s="51"/>
      <c r="AB42" s="51"/>
      <c r="AC42" s="51"/>
      <c r="AE42" s="25"/>
    </row>
    <row r="43" spans="1:31" ht="15.75">
      <c r="A43" s="60"/>
      <c r="B43" s="57"/>
      <c r="C43" s="57"/>
      <c r="D43" s="56"/>
      <c r="E43" s="56"/>
      <c r="F43" s="92"/>
      <c r="G43" s="92"/>
      <c r="H43" s="92"/>
      <c r="I43" s="90"/>
      <c r="J43" s="92"/>
      <c r="K43" s="92"/>
      <c r="L43" s="90"/>
      <c r="M43" s="90"/>
      <c r="N43" s="92"/>
      <c r="O43" s="90"/>
      <c r="P43" s="92"/>
      <c r="Q43" s="90"/>
      <c r="R43" s="92"/>
      <c r="S43" s="90"/>
      <c r="T43" s="90"/>
      <c r="U43" s="92"/>
      <c r="V43" s="90"/>
      <c r="W43" s="90"/>
      <c r="X43" s="56"/>
      <c r="Y43" s="92"/>
      <c r="Z43" s="51"/>
      <c r="AA43" s="51"/>
      <c r="AB43" s="51"/>
      <c r="AC43" s="51"/>
      <c r="AE43" s="25"/>
    </row>
    <row r="44" spans="1:31" ht="15.75">
      <c r="A44" s="58"/>
      <c r="B44" s="91"/>
      <c r="C44" s="57"/>
      <c r="D44" s="56"/>
      <c r="E44" s="56"/>
      <c r="F44" s="56"/>
      <c r="G44" s="56"/>
      <c r="H44" s="56"/>
      <c r="I44" s="90"/>
      <c r="J44" s="56"/>
      <c r="K44" s="56"/>
      <c r="L44" s="90"/>
      <c r="M44" s="90"/>
      <c r="N44" s="56"/>
      <c r="O44" s="90"/>
      <c r="P44" s="56"/>
      <c r="Q44" s="90"/>
      <c r="R44" s="56"/>
      <c r="S44" s="90"/>
      <c r="T44" s="90"/>
      <c r="U44" s="56"/>
      <c r="V44" s="90"/>
      <c r="W44" s="90"/>
      <c r="X44" s="56"/>
      <c r="Y44" s="56"/>
      <c r="Z44" s="100"/>
      <c r="AA44" s="100"/>
      <c r="AB44" s="100"/>
      <c r="AC44" s="100"/>
      <c r="AE44" s="25"/>
    </row>
    <row r="45" spans="1:31" ht="15.75">
      <c r="A45" s="58"/>
      <c r="B45" s="58"/>
      <c r="C45" s="57"/>
      <c r="D45" s="56"/>
      <c r="E45" s="56"/>
      <c r="F45" s="50"/>
      <c r="G45" s="50"/>
      <c r="H45" s="50"/>
      <c r="I45" s="90"/>
      <c r="J45" s="50"/>
      <c r="K45" s="56"/>
      <c r="L45" s="90"/>
      <c r="M45" s="90"/>
      <c r="N45" s="50"/>
      <c r="O45" s="90"/>
      <c r="P45" s="51"/>
      <c r="Q45" s="90"/>
      <c r="R45" s="51"/>
      <c r="S45" s="90"/>
      <c r="T45" s="90"/>
      <c r="U45" s="51"/>
      <c r="V45" s="90"/>
      <c r="W45" s="90"/>
      <c r="X45" s="56"/>
      <c r="Y45" s="92"/>
      <c r="Z45" s="51"/>
      <c r="AA45" s="51"/>
      <c r="AB45" s="51"/>
      <c r="AC45" s="51"/>
      <c r="AE45" s="25"/>
    </row>
    <row r="46" spans="1:31" ht="15.75">
      <c r="A46" s="58"/>
      <c r="B46" s="58"/>
      <c r="C46" s="57"/>
      <c r="D46" s="56"/>
      <c r="E46" s="56"/>
      <c r="F46" s="50"/>
      <c r="G46" s="50"/>
      <c r="H46" s="50"/>
      <c r="I46" s="90"/>
      <c r="J46" s="50"/>
      <c r="K46" s="56"/>
      <c r="L46" s="90"/>
      <c r="M46" s="90"/>
      <c r="N46" s="50"/>
      <c r="O46" s="90"/>
      <c r="P46" s="51"/>
      <c r="Q46" s="90"/>
      <c r="R46" s="51"/>
      <c r="S46" s="90"/>
      <c r="T46" s="90"/>
      <c r="U46" s="51"/>
      <c r="V46" s="90"/>
      <c r="W46" s="90"/>
      <c r="X46" s="56"/>
      <c r="Y46" s="92"/>
      <c r="Z46" s="51"/>
      <c r="AA46" s="51"/>
      <c r="AB46" s="51"/>
      <c r="AC46" s="51"/>
      <c r="AE46" s="25"/>
    </row>
    <row r="47" spans="1:31" ht="15.75">
      <c r="A47" s="58"/>
      <c r="B47" s="58"/>
      <c r="C47" s="57"/>
      <c r="D47" s="56"/>
      <c r="E47" s="56"/>
      <c r="F47" s="50"/>
      <c r="G47" s="50"/>
      <c r="H47" s="50"/>
      <c r="I47" s="90"/>
      <c r="J47" s="50"/>
      <c r="K47" s="56"/>
      <c r="L47" s="90"/>
      <c r="M47" s="90"/>
      <c r="N47" s="50"/>
      <c r="O47" s="90"/>
      <c r="P47" s="51"/>
      <c r="Q47" s="90"/>
      <c r="R47" s="51"/>
      <c r="S47" s="90"/>
      <c r="T47" s="90"/>
      <c r="U47" s="51"/>
      <c r="V47" s="90"/>
      <c r="W47" s="90"/>
      <c r="X47" s="56"/>
      <c r="Y47" s="92"/>
      <c r="Z47" s="51"/>
      <c r="AA47" s="51"/>
      <c r="AB47" s="51"/>
      <c r="AC47" s="51"/>
      <c r="AE47" s="25"/>
    </row>
    <row r="48" spans="1:31" ht="15.75">
      <c r="A48" s="58"/>
      <c r="B48" s="58"/>
      <c r="C48" s="57"/>
      <c r="D48" s="56"/>
      <c r="E48" s="56"/>
      <c r="F48" s="92"/>
      <c r="G48" s="92"/>
      <c r="H48" s="92"/>
      <c r="I48" s="90"/>
      <c r="J48" s="92"/>
      <c r="K48" s="56"/>
      <c r="L48" s="90"/>
      <c r="M48" s="90"/>
      <c r="N48" s="92"/>
      <c r="O48" s="90"/>
      <c r="P48" s="92"/>
      <c r="Q48" s="90"/>
      <c r="R48" s="92"/>
      <c r="S48" s="90"/>
      <c r="T48" s="90"/>
      <c r="U48" s="92"/>
      <c r="V48" s="90"/>
      <c r="W48" s="90"/>
      <c r="X48" s="56"/>
      <c r="Y48" s="92"/>
      <c r="Z48" s="51"/>
      <c r="AA48" s="51"/>
      <c r="AB48" s="51"/>
      <c r="AC48" s="51"/>
      <c r="AE48" s="25"/>
    </row>
    <row r="49" spans="1:31" ht="15.75">
      <c r="A49" s="58"/>
      <c r="B49" s="91"/>
      <c r="C49" s="57"/>
      <c r="D49" s="56"/>
      <c r="E49" s="56"/>
      <c r="F49" s="108"/>
      <c r="G49" s="108"/>
      <c r="H49" s="108"/>
      <c r="I49" s="90"/>
      <c r="J49" s="108"/>
      <c r="K49" s="56"/>
      <c r="L49" s="90"/>
      <c r="M49" s="90"/>
      <c r="N49" s="108"/>
      <c r="O49" s="90"/>
      <c r="P49" s="108"/>
      <c r="Q49" s="90"/>
      <c r="R49" s="108"/>
      <c r="S49" s="90"/>
      <c r="T49" s="90"/>
      <c r="U49" s="108"/>
      <c r="V49" s="90"/>
      <c r="W49" s="90"/>
      <c r="X49" s="56"/>
      <c r="Y49" s="56"/>
      <c r="Z49" s="100"/>
      <c r="AA49" s="100"/>
      <c r="AB49" s="100"/>
      <c r="AC49" s="100"/>
      <c r="AE49" s="25"/>
    </row>
    <row r="50" spans="1:31" ht="15.75">
      <c r="A50" s="58"/>
      <c r="B50" s="58"/>
      <c r="C50" s="57"/>
      <c r="D50" s="56"/>
      <c r="E50" s="56"/>
      <c r="F50" s="92"/>
      <c r="G50" s="92"/>
      <c r="H50" s="92"/>
      <c r="I50" s="90"/>
      <c r="J50" s="92"/>
      <c r="K50" s="56"/>
      <c r="L50" s="90"/>
      <c r="M50" s="90"/>
      <c r="N50" s="92"/>
      <c r="O50" s="90"/>
      <c r="P50" s="92"/>
      <c r="Q50" s="90"/>
      <c r="R50" s="92"/>
      <c r="S50" s="90"/>
      <c r="T50" s="90"/>
      <c r="U50" s="92"/>
      <c r="V50" s="90"/>
      <c r="W50" s="90"/>
      <c r="X50" s="56"/>
      <c r="Y50" s="92"/>
      <c r="Z50" s="51"/>
      <c r="AA50" s="51"/>
      <c r="AB50" s="51"/>
      <c r="AC50" s="51"/>
      <c r="AE50" s="25"/>
    </row>
    <row r="51" spans="1:31" ht="15.75">
      <c r="A51" s="58"/>
      <c r="B51" s="91"/>
      <c r="C51" s="56"/>
      <c r="D51" s="56"/>
      <c r="E51" s="56"/>
      <c r="F51" s="50"/>
      <c r="G51" s="50"/>
      <c r="H51" s="50"/>
      <c r="I51" s="90"/>
      <c r="J51" s="50"/>
      <c r="K51" s="56"/>
      <c r="L51" s="90"/>
      <c r="M51" s="90"/>
      <c r="N51" s="50"/>
      <c r="O51" s="90"/>
      <c r="P51" s="92"/>
      <c r="Q51" s="90"/>
      <c r="R51" s="51"/>
      <c r="S51" s="90"/>
      <c r="T51" s="90"/>
      <c r="U51" s="92"/>
      <c r="V51" s="90"/>
      <c r="W51" s="90"/>
      <c r="X51" s="56"/>
      <c r="Y51" s="56"/>
      <c r="Z51" s="51"/>
      <c r="AA51" s="51"/>
      <c r="AB51" s="51"/>
      <c r="AC51" s="51"/>
      <c r="AE51" s="25"/>
    </row>
    <row r="52" spans="1:31" ht="15.75">
      <c r="A52" s="66"/>
      <c r="B52" s="66"/>
      <c r="C52" s="63"/>
      <c r="D52" s="63"/>
      <c r="E52" s="63"/>
      <c r="F52" s="61"/>
      <c r="G52" s="61"/>
      <c r="H52" s="61"/>
      <c r="I52" s="93"/>
      <c r="J52" s="61"/>
      <c r="K52" s="61"/>
      <c r="L52" s="93"/>
      <c r="M52" s="93"/>
      <c r="N52" s="61"/>
      <c r="O52" s="93"/>
      <c r="P52" s="61"/>
      <c r="Q52" s="93"/>
      <c r="R52" s="61"/>
      <c r="S52" s="93"/>
      <c r="T52" s="93"/>
      <c r="U52" s="61"/>
      <c r="V52" s="93"/>
      <c r="W52" s="93"/>
      <c r="X52" s="61"/>
      <c r="Y52" s="61"/>
      <c r="Z52" s="98"/>
      <c r="AA52" s="98"/>
      <c r="AB52" s="98"/>
      <c r="AC52" s="98"/>
      <c r="AE52" s="25"/>
    </row>
    <row r="53" spans="1:31" ht="15.75">
      <c r="A53" s="62"/>
      <c r="B53" s="62"/>
      <c r="C53" s="63"/>
      <c r="D53" s="63"/>
      <c r="E53" s="63"/>
      <c r="F53" s="109"/>
      <c r="G53" s="109"/>
      <c r="H53" s="109"/>
      <c r="I53" s="93"/>
      <c r="J53" s="109"/>
      <c r="K53" s="61"/>
      <c r="L53" s="93"/>
      <c r="M53" s="93"/>
      <c r="N53" s="109"/>
      <c r="O53" s="93"/>
      <c r="P53" s="61"/>
      <c r="Q53" s="93"/>
      <c r="R53" s="110"/>
      <c r="S53" s="93"/>
      <c r="T53" s="93"/>
      <c r="U53" s="109"/>
      <c r="V53" s="93"/>
      <c r="W53" s="93"/>
      <c r="X53" s="61"/>
      <c r="Y53" s="61"/>
      <c r="Z53" s="98"/>
      <c r="AA53" s="98"/>
      <c r="AB53" s="98"/>
      <c r="AC53" s="98"/>
      <c r="AE53" s="25"/>
    </row>
    <row r="54" spans="1:31" ht="15.75">
      <c r="A54" s="62"/>
      <c r="B54" s="62"/>
      <c r="C54" s="63"/>
      <c r="D54" s="63"/>
      <c r="E54" s="63"/>
      <c r="F54" s="94"/>
      <c r="G54" s="94"/>
      <c r="H54" s="94"/>
      <c r="I54" s="93"/>
      <c r="J54" s="94"/>
      <c r="K54" s="61"/>
      <c r="L54" s="93"/>
      <c r="M54" s="93"/>
      <c r="N54" s="94"/>
      <c r="O54" s="93"/>
      <c r="P54" s="94"/>
      <c r="Q54" s="93"/>
      <c r="R54" s="94"/>
      <c r="S54" s="93"/>
      <c r="T54" s="93"/>
      <c r="U54" s="94"/>
      <c r="V54" s="93"/>
      <c r="W54" s="93"/>
      <c r="X54" s="61"/>
      <c r="Y54" s="94"/>
      <c r="Z54" s="51"/>
      <c r="AA54" s="51"/>
      <c r="AB54" s="51"/>
      <c r="AC54" s="51"/>
      <c r="AE54" s="25"/>
    </row>
    <row r="55" spans="1:31" ht="15.75">
      <c r="A55" s="64"/>
      <c r="B55" s="62"/>
      <c r="C55" s="63"/>
      <c r="D55" s="61"/>
      <c r="E55" s="61"/>
      <c r="F55" s="94"/>
      <c r="G55" s="94"/>
      <c r="H55" s="94"/>
      <c r="I55" s="93"/>
      <c r="J55" s="94"/>
      <c r="K55" s="61"/>
      <c r="L55" s="93"/>
      <c r="M55" s="93"/>
      <c r="N55" s="94"/>
      <c r="O55" s="93"/>
      <c r="P55" s="94"/>
      <c r="Q55" s="93"/>
      <c r="R55" s="94"/>
      <c r="S55" s="93"/>
      <c r="T55" s="93"/>
      <c r="U55" s="94"/>
      <c r="V55" s="93"/>
      <c r="W55" s="93"/>
      <c r="X55" s="61"/>
      <c r="Y55" s="94"/>
      <c r="Z55" s="51"/>
      <c r="AA55" s="51"/>
      <c r="AB55" s="51"/>
      <c r="AC55" s="51"/>
      <c r="AE55" s="25"/>
    </row>
    <row r="56" spans="1:31" ht="15.75">
      <c r="A56" s="64"/>
      <c r="B56" s="63"/>
      <c r="C56" s="65"/>
      <c r="D56" s="61"/>
      <c r="E56" s="61"/>
      <c r="F56" s="94"/>
      <c r="G56" s="94"/>
      <c r="H56" s="94"/>
      <c r="I56" s="93"/>
      <c r="J56" s="94"/>
      <c r="K56" s="61"/>
      <c r="L56" s="93"/>
      <c r="M56" s="93"/>
      <c r="N56" s="94"/>
      <c r="O56" s="93"/>
      <c r="P56" s="94"/>
      <c r="Q56" s="93"/>
      <c r="R56" s="94"/>
      <c r="S56" s="93"/>
      <c r="T56" s="93"/>
      <c r="U56" s="93"/>
      <c r="V56" s="93"/>
      <c r="W56" s="93"/>
      <c r="X56" s="111"/>
      <c r="Y56" s="111"/>
      <c r="Z56" s="51"/>
      <c r="AA56" s="51"/>
      <c r="AB56" s="51"/>
      <c r="AC56" s="51"/>
      <c r="AE56" s="25"/>
    </row>
    <row r="57" spans="1:31">
      <c r="A57" s="64"/>
      <c r="B57" s="63"/>
      <c r="C57" s="63"/>
      <c r="D57" s="61"/>
      <c r="E57" s="61"/>
      <c r="F57" s="94"/>
      <c r="G57" s="94"/>
      <c r="H57" s="94"/>
      <c r="I57" s="93"/>
      <c r="J57" s="94"/>
      <c r="K57" s="61"/>
      <c r="L57" s="93"/>
      <c r="M57" s="93"/>
      <c r="N57" s="94"/>
      <c r="O57" s="93"/>
      <c r="P57" s="94"/>
      <c r="Q57" s="93"/>
      <c r="R57" s="94"/>
      <c r="S57" s="93"/>
      <c r="T57" s="93"/>
      <c r="U57" s="94"/>
      <c r="V57" s="93"/>
      <c r="W57" s="93"/>
      <c r="X57" s="61"/>
      <c r="Y57" s="94"/>
      <c r="Z57" s="51"/>
      <c r="AA57" s="51"/>
      <c r="AB57" s="51"/>
      <c r="AC57" s="51"/>
    </row>
    <row r="58" spans="1:31">
      <c r="A58" s="66"/>
      <c r="B58" s="63"/>
      <c r="C58" s="63"/>
      <c r="D58" s="61"/>
      <c r="E58" s="61"/>
      <c r="F58" s="94"/>
      <c r="G58" s="94"/>
      <c r="H58" s="94"/>
      <c r="I58" s="93"/>
      <c r="J58" s="94"/>
      <c r="K58" s="61"/>
      <c r="L58" s="93"/>
      <c r="M58" s="93"/>
      <c r="N58" s="94"/>
      <c r="O58" s="93"/>
      <c r="P58" s="94"/>
      <c r="Q58" s="93"/>
      <c r="R58" s="94"/>
      <c r="S58" s="93"/>
      <c r="T58" s="93"/>
      <c r="U58" s="94"/>
      <c r="V58" s="93"/>
      <c r="W58" s="93"/>
      <c r="X58" s="61"/>
      <c r="Y58" s="94"/>
      <c r="Z58" s="51"/>
      <c r="AA58" s="51"/>
      <c r="AB58" s="51"/>
      <c r="AC58" s="51"/>
    </row>
    <row r="59" spans="1:31">
      <c r="A59" s="64"/>
      <c r="B59" s="62"/>
      <c r="C59" s="63"/>
      <c r="D59" s="61"/>
      <c r="E59" s="61"/>
      <c r="F59" s="112"/>
      <c r="G59" s="112"/>
      <c r="H59" s="112"/>
      <c r="I59" s="93"/>
      <c r="J59" s="112"/>
      <c r="K59" s="61"/>
      <c r="L59" s="93"/>
      <c r="M59" s="93"/>
      <c r="N59" s="112"/>
      <c r="O59" s="93"/>
      <c r="P59" s="61"/>
      <c r="Q59" s="93"/>
      <c r="R59" s="112"/>
      <c r="S59" s="93"/>
      <c r="T59" s="93"/>
      <c r="U59" s="112"/>
      <c r="V59" s="93"/>
      <c r="W59" s="93"/>
      <c r="X59" s="61"/>
      <c r="Y59" s="61"/>
      <c r="Z59" s="100"/>
      <c r="AA59" s="100"/>
      <c r="AB59" s="100"/>
      <c r="AC59" s="100"/>
    </row>
    <row r="60" spans="1:31">
      <c r="A60" s="64"/>
      <c r="B60" s="64"/>
      <c r="C60" s="63"/>
      <c r="D60" s="61"/>
      <c r="E60" s="61"/>
      <c r="F60" s="50"/>
      <c r="G60" s="50"/>
      <c r="H60" s="50"/>
      <c r="I60" s="93"/>
      <c r="J60" s="50"/>
      <c r="K60" s="61"/>
      <c r="L60" s="93"/>
      <c r="M60" s="93"/>
      <c r="N60" s="50"/>
      <c r="O60" s="93"/>
      <c r="P60" s="94"/>
      <c r="Q60" s="93"/>
      <c r="R60" s="51"/>
      <c r="S60" s="93"/>
      <c r="T60" s="93"/>
      <c r="U60" s="51"/>
      <c r="V60" s="93"/>
      <c r="W60" s="93"/>
      <c r="X60" s="61"/>
      <c r="Y60" s="94"/>
      <c r="Z60" s="51"/>
      <c r="AA60" s="51"/>
      <c r="AB60" s="51"/>
      <c r="AC60" s="51"/>
    </row>
    <row r="61" spans="1:31">
      <c r="A61" s="64"/>
      <c r="B61" s="64"/>
      <c r="C61" s="63"/>
      <c r="D61" s="61"/>
      <c r="E61" s="61"/>
      <c r="F61" s="50"/>
      <c r="G61" s="50"/>
      <c r="H61" s="50"/>
      <c r="I61" s="93"/>
      <c r="J61" s="50"/>
      <c r="K61" s="61"/>
      <c r="L61" s="93"/>
      <c r="M61" s="93"/>
      <c r="N61" s="50"/>
      <c r="O61" s="93"/>
      <c r="P61" s="94"/>
      <c r="Q61" s="93"/>
      <c r="R61" s="51"/>
      <c r="S61" s="93"/>
      <c r="T61" s="93"/>
      <c r="U61" s="51"/>
      <c r="V61" s="93"/>
      <c r="W61" s="93"/>
      <c r="X61" s="61"/>
      <c r="Y61" s="94"/>
      <c r="Z61" s="51"/>
      <c r="AA61" s="51"/>
      <c r="AB61" s="51"/>
      <c r="AC61" s="51"/>
    </row>
    <row r="62" spans="1:31">
      <c r="A62" s="64"/>
      <c r="B62" s="64"/>
      <c r="C62" s="63"/>
      <c r="D62" s="61"/>
      <c r="E62" s="61"/>
      <c r="F62" s="50"/>
      <c r="G62" s="50"/>
      <c r="H62" s="50"/>
      <c r="I62" s="93"/>
      <c r="J62" s="50"/>
      <c r="K62" s="61"/>
      <c r="L62" s="93"/>
      <c r="M62" s="93"/>
      <c r="N62" s="50"/>
      <c r="O62" s="93"/>
      <c r="P62" s="94"/>
      <c r="Q62" s="93"/>
      <c r="R62" s="51"/>
      <c r="S62" s="93"/>
      <c r="T62" s="93"/>
      <c r="U62" s="51"/>
      <c r="V62" s="93"/>
      <c r="W62" s="93"/>
      <c r="X62" s="61"/>
      <c r="Y62" s="94"/>
      <c r="Z62" s="51"/>
      <c r="AA62" s="51"/>
      <c r="AB62" s="51"/>
      <c r="AC62" s="51"/>
    </row>
    <row r="63" spans="1:31">
      <c r="A63" s="64"/>
      <c r="B63" s="64"/>
      <c r="C63" s="63"/>
      <c r="D63" s="61"/>
      <c r="E63" s="61"/>
      <c r="F63" s="94"/>
      <c r="G63" s="94"/>
      <c r="H63" s="94"/>
      <c r="I63" s="93"/>
      <c r="J63" s="94"/>
      <c r="K63" s="61"/>
      <c r="L63" s="93"/>
      <c r="M63" s="93"/>
      <c r="N63" s="94"/>
      <c r="O63" s="93"/>
      <c r="P63" s="94"/>
      <c r="Q63" s="93"/>
      <c r="R63" s="94"/>
      <c r="S63" s="93"/>
      <c r="T63" s="93"/>
      <c r="U63" s="94"/>
      <c r="V63" s="93"/>
      <c r="W63" s="93"/>
      <c r="X63" s="61"/>
      <c r="Y63" s="94"/>
      <c r="Z63" s="51"/>
      <c r="AA63" s="51"/>
      <c r="AB63" s="51"/>
      <c r="AC63" s="51"/>
    </row>
    <row r="64" spans="1:31">
      <c r="A64" s="64"/>
      <c r="B64" s="62"/>
      <c r="C64" s="63"/>
      <c r="D64" s="61"/>
      <c r="E64" s="61"/>
      <c r="F64" s="112"/>
      <c r="G64" s="112"/>
      <c r="H64" s="112"/>
      <c r="I64" s="93"/>
      <c r="J64" s="112"/>
      <c r="K64" s="61"/>
      <c r="L64" s="93"/>
      <c r="M64" s="93"/>
      <c r="N64" s="112"/>
      <c r="O64" s="93"/>
      <c r="P64" s="61"/>
      <c r="Q64" s="93"/>
      <c r="R64" s="112"/>
      <c r="S64" s="93"/>
      <c r="T64" s="93"/>
      <c r="U64" s="112"/>
      <c r="V64" s="93"/>
      <c r="W64" s="93"/>
      <c r="X64" s="61"/>
      <c r="Y64" s="61"/>
      <c r="Z64" s="100"/>
      <c r="AA64" s="100"/>
      <c r="AB64" s="100"/>
      <c r="AC64" s="100"/>
    </row>
    <row r="65" spans="1:29">
      <c r="A65" s="64"/>
      <c r="B65" s="64"/>
      <c r="C65" s="63"/>
      <c r="D65" s="61"/>
      <c r="E65" s="61"/>
      <c r="F65" s="94"/>
      <c r="G65" s="94"/>
      <c r="H65" s="94"/>
      <c r="I65" s="93"/>
      <c r="J65" s="94"/>
      <c r="K65" s="61"/>
      <c r="L65" s="93"/>
      <c r="M65" s="93"/>
      <c r="N65" s="94"/>
      <c r="O65" s="93"/>
      <c r="P65" s="94"/>
      <c r="Q65" s="93"/>
      <c r="R65" s="94"/>
      <c r="S65" s="93"/>
      <c r="T65" s="93"/>
      <c r="U65" s="94"/>
      <c r="V65" s="93"/>
      <c r="W65" s="93"/>
      <c r="X65" s="61"/>
      <c r="Y65" s="94"/>
      <c r="Z65" s="51"/>
      <c r="AA65" s="51"/>
      <c r="AB65" s="51"/>
      <c r="AC65" s="51"/>
    </row>
    <row r="66" spans="1:29">
      <c r="A66" s="64"/>
      <c r="B66" s="62"/>
      <c r="C66" s="61"/>
      <c r="D66" s="67"/>
      <c r="E66" s="61"/>
      <c r="F66" s="50"/>
      <c r="G66" s="50"/>
      <c r="H66" s="50"/>
      <c r="I66" s="93"/>
      <c r="J66" s="50"/>
      <c r="K66" s="61"/>
      <c r="L66" s="93"/>
      <c r="M66" s="93"/>
      <c r="N66" s="50"/>
      <c r="O66" s="93"/>
      <c r="P66" s="94"/>
      <c r="Q66" s="93"/>
      <c r="R66" s="51"/>
      <c r="S66" s="93"/>
      <c r="T66" s="93"/>
      <c r="U66" s="94"/>
      <c r="V66" s="93"/>
      <c r="W66" s="93"/>
      <c r="X66" s="61"/>
      <c r="Y66" s="61"/>
      <c r="Z66" s="51"/>
      <c r="AA66" s="51"/>
      <c r="AB66" s="51"/>
      <c r="AC66" s="51"/>
    </row>
    <row r="67" spans="1:29">
      <c r="A67" s="72"/>
      <c r="B67" s="72"/>
      <c r="C67" s="69"/>
      <c r="D67" s="69"/>
      <c r="E67" s="69"/>
      <c r="F67" s="74"/>
      <c r="G67" s="74"/>
      <c r="H67" s="74"/>
      <c r="I67" s="113"/>
      <c r="J67" s="74"/>
      <c r="K67" s="74"/>
      <c r="L67" s="113"/>
      <c r="M67" s="113"/>
      <c r="N67" s="74"/>
      <c r="O67" s="74"/>
      <c r="P67" s="74"/>
      <c r="Q67" s="113"/>
      <c r="R67" s="74"/>
      <c r="S67" s="113"/>
      <c r="T67" s="113"/>
      <c r="U67" s="74"/>
      <c r="V67" s="74"/>
      <c r="W67" s="113"/>
      <c r="X67" s="74"/>
      <c r="Y67" s="74"/>
      <c r="Z67" s="98"/>
      <c r="AA67" s="98"/>
      <c r="AB67" s="98"/>
      <c r="AC67" s="98"/>
    </row>
    <row r="68" spans="1:29">
      <c r="A68" s="68"/>
      <c r="B68" s="68"/>
      <c r="C68" s="69"/>
      <c r="D68" s="69"/>
      <c r="E68" s="69"/>
      <c r="F68" s="74"/>
      <c r="G68" s="74"/>
      <c r="H68" s="74"/>
      <c r="I68" s="113"/>
      <c r="J68" s="74"/>
      <c r="K68" s="74"/>
      <c r="L68" s="113"/>
      <c r="M68" s="113"/>
      <c r="N68" s="74"/>
      <c r="O68" s="74"/>
      <c r="P68" s="74"/>
      <c r="Q68" s="113"/>
      <c r="R68" s="74"/>
      <c r="S68" s="113"/>
      <c r="T68" s="113"/>
      <c r="U68" s="74"/>
      <c r="V68" s="74"/>
      <c r="W68" s="113"/>
      <c r="X68" s="74"/>
      <c r="Y68" s="74"/>
      <c r="Z68" s="102"/>
      <c r="AA68" s="98"/>
      <c r="AB68" s="98"/>
      <c r="AC68" s="98"/>
    </row>
    <row r="69" spans="1:29">
      <c r="A69" s="68"/>
      <c r="B69" s="68"/>
      <c r="C69" s="69"/>
      <c r="D69" s="69"/>
      <c r="E69" s="69"/>
      <c r="F69" s="95"/>
      <c r="G69" s="95"/>
      <c r="H69" s="95"/>
      <c r="I69" s="113"/>
      <c r="J69" s="95"/>
      <c r="K69" s="95"/>
      <c r="L69" s="113"/>
      <c r="M69" s="113"/>
      <c r="N69" s="95"/>
      <c r="O69" s="95"/>
      <c r="P69" s="95"/>
      <c r="Q69" s="113"/>
      <c r="R69" s="95"/>
      <c r="S69" s="113"/>
      <c r="T69" s="113"/>
      <c r="U69" s="95"/>
      <c r="V69" s="95"/>
      <c r="W69" s="113"/>
      <c r="X69" s="74"/>
      <c r="Y69" s="95"/>
      <c r="Z69" s="50"/>
      <c r="AA69" s="51"/>
      <c r="AB69" s="51"/>
      <c r="AC69" s="51"/>
    </row>
    <row r="70" spans="1:29">
      <c r="A70" s="70"/>
      <c r="B70" s="68"/>
      <c r="C70" s="69"/>
      <c r="D70" s="69"/>
      <c r="E70" s="69"/>
      <c r="F70" s="95"/>
      <c r="G70" s="95"/>
      <c r="H70" s="95"/>
      <c r="I70" s="113"/>
      <c r="J70" s="95"/>
      <c r="K70" s="95"/>
      <c r="L70" s="113"/>
      <c r="M70" s="113"/>
      <c r="N70" s="95"/>
      <c r="O70" s="95"/>
      <c r="P70" s="95"/>
      <c r="Q70" s="113"/>
      <c r="R70" s="95"/>
      <c r="S70" s="113"/>
      <c r="T70" s="113"/>
      <c r="U70" s="95"/>
      <c r="V70" s="95"/>
      <c r="W70" s="113"/>
      <c r="X70" s="74"/>
      <c r="Y70" s="95"/>
      <c r="Z70" s="50"/>
      <c r="AA70" s="51"/>
      <c r="AB70" s="51"/>
      <c r="AC70" s="51"/>
    </row>
    <row r="71" spans="1:29">
      <c r="A71" s="70"/>
      <c r="B71" s="69"/>
      <c r="C71" s="69"/>
      <c r="D71" s="71"/>
      <c r="E71" s="71"/>
      <c r="F71" s="95"/>
      <c r="G71" s="95"/>
      <c r="H71" s="95"/>
      <c r="I71" s="113"/>
      <c r="J71" s="95"/>
      <c r="K71" s="95"/>
      <c r="L71" s="113"/>
      <c r="M71" s="113"/>
      <c r="N71" s="95"/>
      <c r="O71" s="95"/>
      <c r="P71" s="95"/>
      <c r="Q71" s="113"/>
      <c r="R71" s="95"/>
      <c r="S71" s="113"/>
      <c r="T71" s="113"/>
      <c r="U71" s="95"/>
      <c r="V71" s="95"/>
      <c r="W71" s="113"/>
      <c r="X71" s="74"/>
      <c r="Y71" s="95"/>
      <c r="Z71" s="50"/>
      <c r="AA71" s="51"/>
      <c r="AB71" s="51"/>
      <c r="AC71" s="51"/>
    </row>
    <row r="72" spans="1:29">
      <c r="A72" s="70"/>
      <c r="B72" s="69"/>
      <c r="C72" s="69"/>
      <c r="D72" s="69"/>
      <c r="E72" s="69"/>
      <c r="F72" s="95"/>
      <c r="G72" s="95"/>
      <c r="H72" s="95"/>
      <c r="I72" s="113"/>
      <c r="J72" s="95"/>
      <c r="K72" s="74"/>
      <c r="L72" s="113"/>
      <c r="M72" s="113"/>
      <c r="N72" s="95"/>
      <c r="O72" s="95"/>
      <c r="P72" s="95"/>
      <c r="Q72" s="113"/>
      <c r="R72" s="95"/>
      <c r="S72" s="113"/>
      <c r="T72" s="113"/>
      <c r="U72" s="95"/>
      <c r="V72" s="95"/>
      <c r="W72" s="113"/>
      <c r="X72" s="74"/>
      <c r="Y72" s="95"/>
      <c r="Z72" s="50"/>
      <c r="AA72" s="51"/>
      <c r="AB72" s="51"/>
      <c r="AC72" s="51"/>
    </row>
    <row r="73" spans="1:29">
      <c r="A73" s="72"/>
      <c r="B73" s="69"/>
      <c r="C73" s="69"/>
      <c r="D73" s="69"/>
      <c r="E73" s="69"/>
      <c r="F73" s="95"/>
      <c r="G73" s="95"/>
      <c r="H73" s="95"/>
      <c r="I73" s="113"/>
      <c r="J73" s="95"/>
      <c r="K73" s="74"/>
      <c r="L73" s="113"/>
      <c r="M73" s="113"/>
      <c r="N73" s="95"/>
      <c r="O73" s="95"/>
      <c r="P73" s="95"/>
      <c r="Q73" s="113"/>
      <c r="R73" s="95"/>
      <c r="S73" s="113"/>
      <c r="T73" s="113"/>
      <c r="U73" s="95"/>
      <c r="V73" s="95"/>
      <c r="W73" s="113"/>
      <c r="X73" s="74"/>
      <c r="Y73" s="95"/>
      <c r="Z73" s="50"/>
      <c r="AA73" s="51"/>
      <c r="AB73" s="51"/>
      <c r="AC73" s="51"/>
    </row>
    <row r="74" spans="1:29">
      <c r="A74" s="70"/>
      <c r="B74" s="68"/>
      <c r="C74" s="69"/>
      <c r="D74" s="69"/>
      <c r="E74" s="69"/>
      <c r="F74" s="74"/>
      <c r="G74" s="74"/>
      <c r="H74" s="74"/>
      <c r="I74" s="113"/>
      <c r="J74" s="74"/>
      <c r="K74" s="74"/>
      <c r="L74" s="113"/>
      <c r="M74" s="113"/>
      <c r="N74" s="74"/>
      <c r="O74" s="74"/>
      <c r="P74" s="74"/>
      <c r="Q74" s="113"/>
      <c r="R74" s="74"/>
      <c r="S74" s="113"/>
      <c r="T74" s="113"/>
      <c r="U74" s="74"/>
      <c r="V74" s="74"/>
      <c r="W74" s="113"/>
      <c r="X74" s="74"/>
      <c r="Y74" s="74"/>
      <c r="Z74" s="99"/>
      <c r="AA74" s="100"/>
      <c r="AB74" s="100"/>
      <c r="AC74" s="100"/>
    </row>
    <row r="75" spans="1:29">
      <c r="A75" s="70"/>
      <c r="B75" s="70"/>
      <c r="C75" s="69"/>
      <c r="D75" s="69"/>
      <c r="E75" s="69"/>
      <c r="F75" s="95"/>
      <c r="G75" s="95"/>
      <c r="H75" s="95"/>
      <c r="I75" s="113"/>
      <c r="J75" s="95"/>
      <c r="K75" s="95"/>
      <c r="L75" s="113"/>
      <c r="M75" s="113"/>
      <c r="N75" s="95"/>
      <c r="O75" s="73"/>
      <c r="P75" s="95"/>
      <c r="Q75" s="113"/>
      <c r="R75" s="95"/>
      <c r="S75" s="113"/>
      <c r="T75" s="113"/>
      <c r="U75" s="95"/>
      <c r="V75" s="95"/>
      <c r="W75" s="113"/>
      <c r="X75" s="74"/>
      <c r="Y75" s="95"/>
      <c r="Z75" s="50"/>
      <c r="AA75" s="51"/>
      <c r="AB75" s="51"/>
      <c r="AC75" s="51"/>
    </row>
    <row r="76" spans="1:29">
      <c r="A76" s="70"/>
      <c r="B76" s="70"/>
      <c r="C76" s="69"/>
      <c r="D76" s="69"/>
      <c r="E76" s="69"/>
      <c r="F76" s="95"/>
      <c r="G76" s="95"/>
      <c r="H76" s="95"/>
      <c r="I76" s="113"/>
      <c r="J76" s="95"/>
      <c r="K76" s="95"/>
      <c r="L76" s="113"/>
      <c r="M76" s="113"/>
      <c r="N76" s="95"/>
      <c r="O76" s="73"/>
      <c r="P76" s="95"/>
      <c r="Q76" s="113"/>
      <c r="R76" s="95"/>
      <c r="S76" s="113"/>
      <c r="T76" s="113"/>
      <c r="U76" s="95"/>
      <c r="V76" s="95"/>
      <c r="W76" s="113"/>
      <c r="X76" s="74"/>
      <c r="Y76" s="95"/>
      <c r="Z76" s="50"/>
      <c r="AA76" s="51"/>
      <c r="AB76" s="51"/>
      <c r="AC76" s="51"/>
    </row>
    <row r="77" spans="1:29">
      <c r="A77" s="70"/>
      <c r="B77" s="70"/>
      <c r="C77" s="69"/>
      <c r="D77" s="69"/>
      <c r="E77" s="69"/>
      <c r="F77" s="95"/>
      <c r="G77" s="95"/>
      <c r="H77" s="95"/>
      <c r="I77" s="113"/>
      <c r="J77" s="95"/>
      <c r="K77" s="95"/>
      <c r="L77" s="113"/>
      <c r="M77" s="113"/>
      <c r="N77" s="95"/>
      <c r="O77" s="73"/>
      <c r="P77" s="95"/>
      <c r="Q77" s="113"/>
      <c r="R77" s="95"/>
      <c r="S77" s="113"/>
      <c r="T77" s="113"/>
      <c r="U77" s="95"/>
      <c r="V77" s="95"/>
      <c r="W77" s="113"/>
      <c r="X77" s="74"/>
      <c r="Y77" s="95"/>
      <c r="Z77" s="50"/>
      <c r="AA77" s="51"/>
      <c r="AB77" s="51"/>
      <c r="AC77" s="51"/>
    </row>
    <row r="78" spans="1:29">
      <c r="A78" s="70"/>
      <c r="B78" s="70"/>
      <c r="C78" s="69"/>
      <c r="D78" s="69"/>
      <c r="E78" s="69"/>
      <c r="F78" s="95"/>
      <c r="G78" s="95"/>
      <c r="H78" s="95"/>
      <c r="I78" s="113"/>
      <c r="J78" s="95"/>
      <c r="K78" s="95"/>
      <c r="L78" s="113"/>
      <c r="M78" s="113"/>
      <c r="N78" s="95"/>
      <c r="O78" s="73"/>
      <c r="P78" s="95"/>
      <c r="Q78" s="113"/>
      <c r="R78" s="95"/>
      <c r="S78" s="113"/>
      <c r="T78" s="113"/>
      <c r="U78" s="95"/>
      <c r="V78" s="95"/>
      <c r="W78" s="113"/>
      <c r="X78" s="74"/>
      <c r="Y78" s="95"/>
      <c r="Z78" s="50"/>
      <c r="AA78" s="51"/>
      <c r="AB78" s="51"/>
      <c r="AC78" s="51"/>
    </row>
    <row r="79" spans="1:29">
      <c r="A79" s="70"/>
      <c r="B79" s="68"/>
      <c r="C79" s="69"/>
      <c r="D79" s="69"/>
      <c r="E79" s="69"/>
      <c r="F79" s="71"/>
      <c r="G79" s="71"/>
      <c r="H79" s="71"/>
      <c r="I79" s="113"/>
      <c r="J79" s="71"/>
      <c r="K79" s="71"/>
      <c r="L79" s="113"/>
      <c r="M79" s="113"/>
      <c r="N79" s="71"/>
      <c r="O79" s="71"/>
      <c r="P79" s="74"/>
      <c r="Q79" s="113"/>
      <c r="R79" s="71"/>
      <c r="S79" s="113"/>
      <c r="T79" s="113"/>
      <c r="U79" s="71"/>
      <c r="V79" s="74"/>
      <c r="W79" s="113"/>
      <c r="X79" s="74"/>
      <c r="Y79" s="74"/>
      <c r="Z79" s="99"/>
      <c r="AA79" s="100"/>
      <c r="AB79" s="100"/>
      <c r="AC79" s="100"/>
    </row>
    <row r="80" spans="1:29">
      <c r="A80" s="70"/>
      <c r="B80" s="70"/>
      <c r="C80" s="73"/>
      <c r="D80" s="74"/>
      <c r="E80" s="74"/>
      <c r="F80" s="95"/>
      <c r="G80" s="95"/>
      <c r="H80" s="95"/>
      <c r="I80" s="113"/>
      <c r="J80" s="95"/>
      <c r="K80" s="95"/>
      <c r="L80" s="113"/>
      <c r="M80" s="113"/>
      <c r="N80" s="95"/>
      <c r="O80" s="95"/>
      <c r="P80" s="95"/>
      <c r="Q80" s="113"/>
      <c r="R80" s="95"/>
      <c r="S80" s="113"/>
      <c r="T80" s="113"/>
      <c r="U80" s="95"/>
      <c r="V80" s="95"/>
      <c r="W80" s="113"/>
      <c r="X80" s="74"/>
      <c r="Y80" s="95"/>
      <c r="Z80" s="50"/>
      <c r="AA80" s="51"/>
      <c r="AB80" s="51"/>
      <c r="AC80" s="51"/>
    </row>
    <row r="81" spans="1:29">
      <c r="A81" s="70"/>
      <c r="B81" s="68"/>
      <c r="C81" s="74"/>
      <c r="D81" s="74"/>
      <c r="E81" s="69"/>
      <c r="F81" s="95"/>
      <c r="G81" s="95"/>
      <c r="H81" s="95"/>
      <c r="I81" s="113"/>
      <c r="J81" s="95"/>
      <c r="K81" s="95"/>
      <c r="L81" s="113"/>
      <c r="M81" s="113"/>
      <c r="N81" s="95"/>
      <c r="O81" s="95"/>
      <c r="P81" s="74"/>
      <c r="Q81" s="113"/>
      <c r="R81" s="95"/>
      <c r="S81" s="113"/>
      <c r="T81" s="113"/>
      <c r="U81" s="95"/>
      <c r="V81" s="74"/>
      <c r="W81" s="113"/>
      <c r="X81" s="74"/>
      <c r="Y81" s="74"/>
      <c r="Z81" s="50"/>
      <c r="AA81" s="51"/>
      <c r="AB81" s="51"/>
      <c r="AC81" s="51"/>
    </row>
    <row r="82" spans="1:29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</row>
    <row r="83" spans="1:29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</row>
    <row r="84" spans="1:29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</row>
    <row r="85" spans="1:29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</row>
    <row r="86" spans="1:29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</row>
    <row r="87" spans="1:29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</row>
    <row r="88" spans="1:29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</row>
    <row r="89" spans="1:2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</row>
  </sheetData>
  <mergeCells count="34">
    <mergeCell ref="F4:F6"/>
    <mergeCell ref="N4:O4"/>
    <mergeCell ref="Z4:Z5"/>
    <mergeCell ref="A1:AC1"/>
    <mergeCell ref="A3:A6"/>
    <mergeCell ref="B3:B6"/>
    <mergeCell ref="C3:C6"/>
    <mergeCell ref="D3:D6"/>
    <mergeCell ref="E3:E6"/>
    <mergeCell ref="F3:K3"/>
    <mergeCell ref="L3:P3"/>
    <mergeCell ref="Q3:R5"/>
    <mergeCell ref="S3:Y3"/>
    <mergeCell ref="Z3:AC3"/>
    <mergeCell ref="P4:P6"/>
    <mergeCell ref="W4:X4"/>
    <mergeCell ref="AA4:AA5"/>
    <mergeCell ref="AB4:AB5"/>
    <mergeCell ref="AC4:AC5"/>
    <mergeCell ref="Y4:Y6"/>
    <mergeCell ref="U5:V5"/>
    <mergeCell ref="W5:W6"/>
    <mergeCell ref="X5:X6"/>
    <mergeCell ref="G4:H4"/>
    <mergeCell ref="I4:K5"/>
    <mergeCell ref="L4:M4"/>
    <mergeCell ref="O5:O6"/>
    <mergeCell ref="S5:T5"/>
    <mergeCell ref="S4:V4"/>
    <mergeCell ref="G5:G6"/>
    <mergeCell ref="H5:H6"/>
    <mergeCell ref="L5:L6"/>
    <mergeCell ref="M5:M6"/>
    <mergeCell ref="N5:N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QSTBKT</vt:lpstr>
      <vt:lpstr>ChiLenhHCKT</vt:lpstr>
      <vt:lpstr>PhanCapVCHC</vt:lpstr>
      <vt:lpstr>TinhHinhVC</vt:lpstr>
      <vt:lpstr>VCHCVTKT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2026-03-08T20:08:51Z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