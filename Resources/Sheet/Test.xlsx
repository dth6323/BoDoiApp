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Code\BODOIAPP\Resources\Sheet\"/>
    </mc:Choice>
  </mc:AlternateContent>
  <xr:revisionPtr revIDLastSave="0" documentId="13_ncr:1_{E1A0E571-5542-471A-9CE4-9A68AD93070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QSTBKT" sheetId="10" r:id="rId1"/>
    <sheet name="ChiLenhHCKT" sheetId="9" r:id="rId2"/>
    <sheet name="PhanCapVCHC" sheetId="11" r:id="rId3"/>
    <sheet name="TinhHinhVC" sheetId="13" r:id="rId4"/>
    <sheet name="VCHCVTKT" sheetId="1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5" l="1"/>
  <c r="Q21" i="15"/>
  <c r="I20" i="15"/>
  <c r="Q20" i="15"/>
  <c r="I18" i="15"/>
  <c r="Q18" i="15"/>
  <c r="T18" i="15" s="1"/>
  <c r="T14" i="15" s="1"/>
  <c r="I17" i="15"/>
  <c r="Q17" i="15"/>
  <c r="I16" i="15"/>
  <c r="Q16" i="15"/>
  <c r="I15" i="15"/>
  <c r="W15" i="15" s="1"/>
  <c r="I13" i="15"/>
  <c r="Q13" i="15"/>
  <c r="I12" i="15"/>
  <c r="Q12" i="15"/>
  <c r="I11" i="15"/>
  <c r="I10" i="15"/>
  <c r="Q10" i="15"/>
  <c r="T10" i="15" s="1"/>
  <c r="I9" i="15"/>
  <c r="Q9" i="15"/>
  <c r="T9" i="15" s="1"/>
  <c r="L15" i="15"/>
  <c r="L13" i="15"/>
  <c r="L12" i="15"/>
  <c r="L11" i="15"/>
  <c r="E80" i="15"/>
  <c r="D80" i="15"/>
  <c r="E78" i="15"/>
  <c r="D78" i="15"/>
  <c r="E73" i="15"/>
  <c r="D73" i="15"/>
  <c r="E72" i="15"/>
  <c r="D72" i="15"/>
  <c r="E70" i="15"/>
  <c r="D70" i="15"/>
  <c r="E69" i="15"/>
  <c r="D69" i="15"/>
  <c r="C65" i="15"/>
  <c r="C63" i="15"/>
  <c r="C58" i="15"/>
  <c r="C57" i="15"/>
  <c r="C55" i="15"/>
  <c r="C54" i="15"/>
  <c r="C50" i="15"/>
  <c r="C48" i="15"/>
  <c r="C43" i="15"/>
  <c r="C42" i="15"/>
  <c r="C40" i="15"/>
  <c r="C39" i="15"/>
  <c r="C35" i="15"/>
  <c r="C33" i="15"/>
  <c r="C28" i="15"/>
  <c r="C27" i="15"/>
  <c r="C25" i="15"/>
  <c r="C24" i="15"/>
  <c r="R21" i="15"/>
  <c r="R81" i="15" s="1"/>
  <c r="N21" i="15"/>
  <c r="N81" i="15" s="1"/>
  <c r="P81" i="15" s="1"/>
  <c r="L21" i="15"/>
  <c r="K21" i="15"/>
  <c r="J21" i="15"/>
  <c r="J81" i="15" s="1"/>
  <c r="K81" i="15" s="1"/>
  <c r="H21" i="15"/>
  <c r="G21" i="15"/>
  <c r="G81" i="15" s="1"/>
  <c r="F21" i="15"/>
  <c r="F81" i="15" s="1"/>
  <c r="R20" i="15"/>
  <c r="N20" i="15"/>
  <c r="N35" i="15" s="1"/>
  <c r="N50" i="15" s="1"/>
  <c r="L20" i="15"/>
  <c r="K20" i="15"/>
  <c r="J20" i="15"/>
  <c r="J35" i="15" s="1"/>
  <c r="H20" i="15"/>
  <c r="H35" i="15" s="1"/>
  <c r="G20" i="15"/>
  <c r="F20" i="15"/>
  <c r="F80" i="15" s="1"/>
  <c r="E20" i="15"/>
  <c r="O19" i="15" s="1"/>
  <c r="D20" i="15"/>
  <c r="R18" i="15"/>
  <c r="N18" i="15"/>
  <c r="N33" i="15" s="1"/>
  <c r="L18" i="15"/>
  <c r="K18" i="15"/>
  <c r="J18" i="15"/>
  <c r="J33" i="15" s="1"/>
  <c r="H18" i="15"/>
  <c r="H78" i="15" s="1"/>
  <c r="G18" i="15"/>
  <c r="F18" i="15"/>
  <c r="F78" i="15" s="1"/>
  <c r="E18" i="15"/>
  <c r="O14" i="15" s="1"/>
  <c r="D18" i="15"/>
  <c r="C18" i="15" s="1"/>
  <c r="R17" i="15"/>
  <c r="R77" i="15" s="1"/>
  <c r="N17" i="15"/>
  <c r="N77" i="15" s="1"/>
  <c r="L17" i="15"/>
  <c r="K17" i="15"/>
  <c r="J17" i="15"/>
  <c r="H17" i="15"/>
  <c r="H77" i="15" s="1"/>
  <c r="G17" i="15"/>
  <c r="G77" i="15" s="1"/>
  <c r="F17" i="15"/>
  <c r="F77" i="15" s="1"/>
  <c r="R16" i="15"/>
  <c r="R76" i="15" s="1"/>
  <c r="N16" i="15"/>
  <c r="L16" i="15"/>
  <c r="K16" i="15"/>
  <c r="J16" i="15"/>
  <c r="J76" i="15" s="1"/>
  <c r="K76" i="15" s="1"/>
  <c r="H16" i="15"/>
  <c r="H76" i="15" s="1"/>
  <c r="G16" i="15"/>
  <c r="F16" i="15"/>
  <c r="F76" i="15" s="1"/>
  <c r="R15" i="15"/>
  <c r="Q15" i="15"/>
  <c r="N15" i="15"/>
  <c r="K15" i="15"/>
  <c r="J15" i="15"/>
  <c r="J75" i="15" s="1"/>
  <c r="H15" i="15"/>
  <c r="G15" i="15"/>
  <c r="F15" i="15"/>
  <c r="R13" i="15"/>
  <c r="R28" i="15" s="1"/>
  <c r="R43" i="15" s="1"/>
  <c r="R58" i="15" s="1"/>
  <c r="N13" i="15"/>
  <c r="N28" i="15" s="1"/>
  <c r="N43" i="15" s="1"/>
  <c r="N58" i="15" s="1"/>
  <c r="K13" i="15"/>
  <c r="J13" i="15"/>
  <c r="J73" i="15" s="1"/>
  <c r="K73" i="15" s="1"/>
  <c r="H13" i="15"/>
  <c r="H73" i="15" s="1"/>
  <c r="G13" i="15"/>
  <c r="F13" i="15"/>
  <c r="E13" i="15"/>
  <c r="D13" i="15"/>
  <c r="R12" i="15"/>
  <c r="R27" i="15" s="1"/>
  <c r="R42" i="15" s="1"/>
  <c r="R57" i="15" s="1"/>
  <c r="N12" i="15"/>
  <c r="N27" i="15" s="1"/>
  <c r="N42" i="15" s="1"/>
  <c r="N57" i="15" s="1"/>
  <c r="K12" i="15"/>
  <c r="J12" i="15"/>
  <c r="J72" i="15" s="1"/>
  <c r="K72" i="15" s="1"/>
  <c r="H12" i="15"/>
  <c r="H72" i="15" s="1"/>
  <c r="G12" i="15"/>
  <c r="F12" i="15"/>
  <c r="F27" i="15" s="1"/>
  <c r="F42" i="15" s="1"/>
  <c r="F57" i="15" s="1"/>
  <c r="E12" i="15"/>
  <c r="D12" i="15"/>
  <c r="C12" i="15" s="1"/>
  <c r="C72" i="15" s="1"/>
  <c r="R11" i="15"/>
  <c r="Q11" i="15"/>
  <c r="N11" i="15"/>
  <c r="U11" i="15" s="1"/>
  <c r="U71" i="15" s="1"/>
  <c r="K11" i="15"/>
  <c r="J11" i="15"/>
  <c r="J71" i="15" s="1"/>
  <c r="K71" i="15" s="1"/>
  <c r="H11" i="15"/>
  <c r="H71" i="15" s="1"/>
  <c r="G11" i="15"/>
  <c r="F11" i="15"/>
  <c r="F71" i="15" s="1"/>
  <c r="E11" i="15"/>
  <c r="D11" i="15"/>
  <c r="C11" i="15" s="1"/>
  <c r="C71" i="15" s="1"/>
  <c r="R10" i="15"/>
  <c r="R70" i="15" s="1"/>
  <c r="N10" i="15"/>
  <c r="N25" i="15" s="1"/>
  <c r="N40" i="15" s="1"/>
  <c r="N55" i="15" s="1"/>
  <c r="L10" i="15"/>
  <c r="K10" i="15"/>
  <c r="J10" i="15"/>
  <c r="J25" i="15" s="1"/>
  <c r="H10" i="15"/>
  <c r="G10" i="15"/>
  <c r="G25" i="15" s="1"/>
  <c r="F10" i="15"/>
  <c r="F25" i="15" s="1"/>
  <c r="F40" i="15" s="1"/>
  <c r="F55" i="15" s="1"/>
  <c r="E10" i="15"/>
  <c r="D10" i="15"/>
  <c r="R9" i="15"/>
  <c r="R69" i="15" s="1"/>
  <c r="N9" i="15"/>
  <c r="N24" i="15" s="1"/>
  <c r="N39" i="15" s="1"/>
  <c r="N54" i="15" s="1"/>
  <c r="L9" i="15"/>
  <c r="K9" i="15"/>
  <c r="J9" i="15"/>
  <c r="J24" i="15" s="1"/>
  <c r="H9" i="15"/>
  <c r="G9" i="15"/>
  <c r="F9" i="15"/>
  <c r="F24" i="15" s="1"/>
  <c r="F39" i="15" s="1"/>
  <c r="F54" i="15" s="1"/>
  <c r="E9" i="15"/>
  <c r="D9" i="15"/>
  <c r="V81" i="15"/>
  <c r="O81" i="15"/>
  <c r="O80" i="15"/>
  <c r="O78" i="15"/>
  <c r="V77" i="15"/>
  <c r="O77" i="15"/>
  <c r="V76" i="15"/>
  <c r="O76" i="15"/>
  <c r="V75" i="15"/>
  <c r="O75" i="15"/>
  <c r="O73" i="15"/>
  <c r="O72" i="15"/>
  <c r="V71" i="15"/>
  <c r="O71" i="15"/>
  <c r="O70" i="15"/>
  <c r="O69" i="15"/>
  <c r="Y66" i="15"/>
  <c r="X66" i="15"/>
  <c r="U66" i="15"/>
  <c r="P66" i="15"/>
  <c r="K66" i="15"/>
  <c r="X62" i="15"/>
  <c r="K62" i="15"/>
  <c r="X61" i="15"/>
  <c r="K61" i="15"/>
  <c r="X60" i="15"/>
  <c r="K60" i="15"/>
  <c r="H56" i="15"/>
  <c r="F56" i="15"/>
  <c r="Y51" i="15"/>
  <c r="X51" i="15"/>
  <c r="U51" i="15"/>
  <c r="P51" i="15"/>
  <c r="K51" i="15"/>
  <c r="X47" i="15"/>
  <c r="K47" i="15"/>
  <c r="X46" i="15"/>
  <c r="K46" i="15"/>
  <c r="X45" i="15"/>
  <c r="K45" i="15"/>
  <c r="R41" i="15"/>
  <c r="R56" i="15" s="1"/>
  <c r="N41" i="15"/>
  <c r="N56" i="15" s="1"/>
  <c r="J41" i="15"/>
  <c r="J56" i="15" s="1"/>
  <c r="K56" i="15" s="1"/>
  <c r="H41" i="15"/>
  <c r="G41" i="15"/>
  <c r="G56" i="15" s="1"/>
  <c r="F41" i="15"/>
  <c r="Y36" i="15"/>
  <c r="X36" i="15"/>
  <c r="U36" i="15"/>
  <c r="P36" i="15"/>
  <c r="K36" i="15"/>
  <c r="R33" i="15"/>
  <c r="R29" i="15" s="1"/>
  <c r="X32" i="15"/>
  <c r="U32" i="15"/>
  <c r="K32" i="15"/>
  <c r="X31" i="15"/>
  <c r="U31" i="15"/>
  <c r="K31" i="15"/>
  <c r="X30" i="15"/>
  <c r="U30" i="15"/>
  <c r="K30" i="15"/>
  <c r="F28" i="15"/>
  <c r="F43" i="15" s="1"/>
  <c r="F58" i="15" s="1"/>
  <c r="R24" i="15"/>
  <c r="R39" i="15" s="1"/>
  <c r="R54" i="15" s="1"/>
  <c r="R35" i="15"/>
  <c r="M19" i="15"/>
  <c r="R78" i="15"/>
  <c r="J77" i="15"/>
  <c r="K77" i="15" s="1"/>
  <c r="G76" i="15"/>
  <c r="N75" i="15"/>
  <c r="H75" i="15"/>
  <c r="G75" i="15"/>
  <c r="F75" i="15"/>
  <c r="M14" i="15"/>
  <c r="F73" i="15"/>
  <c r="C13" i="15"/>
  <c r="C73" i="15" s="1"/>
  <c r="E71" i="15"/>
  <c r="D71" i="15"/>
  <c r="H69" i="15"/>
  <c r="O8" i="15"/>
  <c r="N80" i="15" l="1"/>
  <c r="R72" i="15"/>
  <c r="W20" i="15"/>
  <c r="W9" i="15"/>
  <c r="W10" i="15"/>
  <c r="W13" i="15"/>
  <c r="W18" i="15"/>
  <c r="W12" i="15"/>
  <c r="T12" i="15"/>
  <c r="T8" i="15" s="1"/>
  <c r="W17" i="15"/>
  <c r="W21" i="15"/>
  <c r="S9" i="15"/>
  <c r="S21" i="15"/>
  <c r="V12" i="15"/>
  <c r="V72" i="15" s="1"/>
  <c r="V9" i="15"/>
  <c r="V69" i="15" s="1"/>
  <c r="X9" i="15"/>
  <c r="X69" i="15" s="1"/>
  <c r="X10" i="15"/>
  <c r="X70" i="15" s="1"/>
  <c r="X21" i="15"/>
  <c r="U16" i="15"/>
  <c r="U76" i="15" s="1"/>
  <c r="L14" i="15"/>
  <c r="N71" i="15"/>
  <c r="N72" i="15"/>
  <c r="U13" i="15"/>
  <c r="U73" i="15" s="1"/>
  <c r="N8" i="15"/>
  <c r="S16" i="15"/>
  <c r="N34" i="15"/>
  <c r="P34" i="15" s="1"/>
  <c r="U18" i="15"/>
  <c r="U78" i="15" s="1"/>
  <c r="U20" i="15"/>
  <c r="U19" i="15" s="1"/>
  <c r="F35" i="15"/>
  <c r="F50" i="15" s="1"/>
  <c r="X16" i="15"/>
  <c r="X76" i="15" s="1"/>
  <c r="F72" i="15"/>
  <c r="G78" i="15"/>
  <c r="G72" i="15"/>
  <c r="U9" i="15"/>
  <c r="U69" i="15" s="1"/>
  <c r="F34" i="15"/>
  <c r="S11" i="15"/>
  <c r="S13" i="15"/>
  <c r="N70" i="15"/>
  <c r="P21" i="15"/>
  <c r="Y21" i="15" s="1"/>
  <c r="L19" i="15"/>
  <c r="J28" i="15"/>
  <c r="J43" i="15" s="1"/>
  <c r="X15" i="15"/>
  <c r="X75" i="15" s="1"/>
  <c r="S17" i="15"/>
  <c r="U21" i="15"/>
  <c r="X11" i="15"/>
  <c r="X71" i="15" s="1"/>
  <c r="H24" i="15"/>
  <c r="H39" i="15" s="1"/>
  <c r="T13" i="15"/>
  <c r="N19" i="15"/>
  <c r="S20" i="15"/>
  <c r="S19" i="15" s="1"/>
  <c r="S15" i="15"/>
  <c r="T20" i="15"/>
  <c r="T19" i="15" s="1"/>
  <c r="O7" i="15"/>
  <c r="H33" i="15"/>
  <c r="H29" i="15" s="1"/>
  <c r="C20" i="15"/>
  <c r="Q19" i="15" s="1"/>
  <c r="W11" i="15"/>
  <c r="H28" i="15"/>
  <c r="H43" i="15" s="1"/>
  <c r="H58" i="15" s="1"/>
  <c r="N53" i="15"/>
  <c r="P53" i="15" s="1"/>
  <c r="K24" i="15"/>
  <c r="J39" i="15"/>
  <c r="G40" i="15"/>
  <c r="W14" i="15"/>
  <c r="J14" i="15"/>
  <c r="Q14" i="15"/>
  <c r="C78" i="15"/>
  <c r="I14" i="15"/>
  <c r="H14" i="15"/>
  <c r="G14" i="15"/>
  <c r="R14" i="15"/>
  <c r="K14" i="15"/>
  <c r="J50" i="15"/>
  <c r="K35" i="15"/>
  <c r="J34" i="15"/>
  <c r="K34" i="15" s="1"/>
  <c r="R38" i="15"/>
  <c r="K25" i="15"/>
  <c r="J40" i="15"/>
  <c r="J48" i="15"/>
  <c r="K33" i="15"/>
  <c r="J29" i="15"/>
  <c r="K29" i="15" s="1"/>
  <c r="U81" i="15"/>
  <c r="F65" i="15"/>
  <c r="F64" i="15" s="1"/>
  <c r="F49" i="15"/>
  <c r="F53" i="15"/>
  <c r="Y81" i="15"/>
  <c r="H54" i="15"/>
  <c r="N65" i="15"/>
  <c r="N64" i="15" s="1"/>
  <c r="P64" i="15" s="1"/>
  <c r="N49" i="15"/>
  <c r="P49" i="15" s="1"/>
  <c r="R50" i="15"/>
  <c r="R34" i="15"/>
  <c r="N48" i="15"/>
  <c r="N63" i="15" s="1"/>
  <c r="N59" i="15" s="1"/>
  <c r="P59" i="15" s="1"/>
  <c r="N29" i="15"/>
  <c r="P29" i="15" s="1"/>
  <c r="X35" i="15"/>
  <c r="H50" i="15"/>
  <c r="H34" i="15"/>
  <c r="N23" i="15"/>
  <c r="V13" i="15"/>
  <c r="V73" i="15" s="1"/>
  <c r="R19" i="15"/>
  <c r="J78" i="15"/>
  <c r="K78" i="15" s="1"/>
  <c r="C10" i="15"/>
  <c r="C70" i="15" s="1"/>
  <c r="W16" i="15"/>
  <c r="G19" i="15"/>
  <c r="G28" i="15"/>
  <c r="R48" i="15"/>
  <c r="F69" i="15"/>
  <c r="K75" i="15"/>
  <c r="N76" i="15"/>
  <c r="G80" i="15"/>
  <c r="G79" i="15" s="1"/>
  <c r="H81" i="15"/>
  <c r="X81" i="15" s="1"/>
  <c r="S10" i="15"/>
  <c r="U17" i="15"/>
  <c r="U77" i="15" s="1"/>
  <c r="X20" i="15"/>
  <c r="X80" i="15" s="1"/>
  <c r="X24" i="15"/>
  <c r="X33" i="15"/>
  <c r="G69" i="15"/>
  <c r="N73" i="15"/>
  <c r="N78" i="15"/>
  <c r="H80" i="15"/>
  <c r="I19" i="15"/>
  <c r="G27" i="15"/>
  <c r="K41" i="15"/>
  <c r="F70" i="15"/>
  <c r="J80" i="15"/>
  <c r="F19" i="15"/>
  <c r="S12" i="15"/>
  <c r="L8" i="15"/>
  <c r="U10" i="15"/>
  <c r="U70" i="15" s="1"/>
  <c r="U12" i="15"/>
  <c r="U72" i="15" s="1"/>
  <c r="X17" i="15"/>
  <c r="X77" i="15" s="1"/>
  <c r="J19" i="15"/>
  <c r="H27" i="15"/>
  <c r="G35" i="15"/>
  <c r="F38" i="15"/>
  <c r="J69" i="15"/>
  <c r="K69" i="15" s="1"/>
  <c r="G70" i="15"/>
  <c r="R73" i="15"/>
  <c r="R75" i="15"/>
  <c r="V20" i="15"/>
  <c r="R71" i="15"/>
  <c r="X13" i="15"/>
  <c r="X73" i="15" s="1"/>
  <c r="H19" i="15"/>
  <c r="M8" i="15"/>
  <c r="M7" i="15" s="1"/>
  <c r="V10" i="15"/>
  <c r="V70" i="15" s="1"/>
  <c r="K19" i="15"/>
  <c r="W19" i="15"/>
  <c r="J27" i="15"/>
  <c r="J23" i="15" s="1"/>
  <c r="J22" i="15" s="1"/>
  <c r="H70" i="15"/>
  <c r="C9" i="15"/>
  <c r="S18" i="15"/>
  <c r="F23" i="15"/>
  <c r="H25" i="15"/>
  <c r="F33" i="15"/>
  <c r="N69" i="15"/>
  <c r="J70" i="15"/>
  <c r="K70" i="15" s="1"/>
  <c r="G71" i="15"/>
  <c r="X12" i="15"/>
  <c r="X72" i="15" s="1"/>
  <c r="G24" i="15"/>
  <c r="G33" i="15"/>
  <c r="R80" i="15"/>
  <c r="R79" i="15" s="1"/>
  <c r="V18" i="15"/>
  <c r="N38" i="15"/>
  <c r="H48" i="15"/>
  <c r="C80" i="15"/>
  <c r="N79" i="15" s="1"/>
  <c r="U15" i="15"/>
  <c r="R25" i="15"/>
  <c r="R40" i="15" s="1"/>
  <c r="R55" i="15" s="1"/>
  <c r="R53" i="15" s="1"/>
  <c r="G73" i="15"/>
  <c r="N14" i="15"/>
  <c r="X18" i="15"/>
  <c r="X78" i="15" s="1"/>
  <c r="P19" i="15" l="1"/>
  <c r="N7" i="15"/>
  <c r="K28" i="15"/>
  <c r="Y34" i="15"/>
  <c r="U80" i="15"/>
  <c r="U79" i="15" s="1"/>
  <c r="U8" i="15"/>
  <c r="U7" i="15" s="1"/>
  <c r="G23" i="15"/>
  <c r="X28" i="15"/>
  <c r="U68" i="15"/>
  <c r="S14" i="15"/>
  <c r="Y64" i="15"/>
  <c r="X29" i="15"/>
  <c r="S8" i="15"/>
  <c r="H79" i="15"/>
  <c r="P14" i="15"/>
  <c r="T7" i="15"/>
  <c r="X19" i="15"/>
  <c r="X79" i="15" s="1"/>
  <c r="Y49" i="15"/>
  <c r="Y53" i="15"/>
  <c r="F74" i="15"/>
  <c r="O74" i="15"/>
  <c r="J58" i="15"/>
  <c r="K58" i="15" s="1"/>
  <c r="K43" i="15"/>
  <c r="P23" i="15"/>
  <c r="P22" i="15" s="1"/>
  <c r="N22" i="15"/>
  <c r="R49" i="15"/>
  <c r="R65" i="15"/>
  <c r="R64" i="15" s="1"/>
  <c r="X14" i="15"/>
  <c r="X74" i="15" s="1"/>
  <c r="H63" i="15"/>
  <c r="H44" i="15"/>
  <c r="X48" i="15"/>
  <c r="K74" i="15"/>
  <c r="G8" i="15"/>
  <c r="C69" i="15"/>
  <c r="R8" i="15"/>
  <c r="R7" i="15" s="1"/>
  <c r="Q8" i="15"/>
  <c r="Q7" i="15" s="1"/>
  <c r="W8" i="15"/>
  <c r="W7" i="15" s="1"/>
  <c r="X8" i="15"/>
  <c r="H8" i="15"/>
  <c r="H7" i="15" s="1"/>
  <c r="J8" i="15"/>
  <c r="J7" i="15" s="1"/>
  <c r="I8" i="15"/>
  <c r="V80" i="15"/>
  <c r="V19" i="15"/>
  <c r="V79" i="15" s="1"/>
  <c r="X34" i="15"/>
  <c r="J74" i="15"/>
  <c r="H74" i="15"/>
  <c r="J65" i="15"/>
  <c r="K50" i="15"/>
  <c r="J49" i="15"/>
  <c r="K49" i="15" s="1"/>
  <c r="U40" i="15"/>
  <c r="G55" i="15"/>
  <c r="U55" i="15" s="1"/>
  <c r="H23" i="15"/>
  <c r="H40" i="15"/>
  <c r="X25" i="15"/>
  <c r="U35" i="15"/>
  <c r="U50" i="15" s="1"/>
  <c r="U49" i="15" s="1"/>
  <c r="G50" i="15"/>
  <c r="G34" i="15"/>
  <c r="U34" i="15" s="1"/>
  <c r="G29" i="15"/>
  <c r="U29" i="15" s="1"/>
  <c r="G48" i="15"/>
  <c r="U33" i="15"/>
  <c r="U48" i="15" s="1"/>
  <c r="U44" i="15" s="1"/>
  <c r="R74" i="15"/>
  <c r="P8" i="15"/>
  <c r="L7" i="15"/>
  <c r="P7" i="15" s="1"/>
  <c r="R44" i="15"/>
  <c r="R63" i="15"/>
  <c r="R59" i="15" s="1"/>
  <c r="R52" i="15" s="1"/>
  <c r="H65" i="15"/>
  <c r="H49" i="15"/>
  <c r="X50" i="15"/>
  <c r="X43" i="15"/>
  <c r="U25" i="15"/>
  <c r="F29" i="15"/>
  <c r="Y29" i="15" s="1"/>
  <c r="F48" i="15"/>
  <c r="U28" i="15"/>
  <c r="G43" i="15"/>
  <c r="J54" i="15"/>
  <c r="X54" i="15" s="1"/>
  <c r="K39" i="15"/>
  <c r="Y19" i="15"/>
  <c r="R23" i="15"/>
  <c r="R22" i="15" s="1"/>
  <c r="N74" i="15"/>
  <c r="N44" i="15"/>
  <c r="N37" i="15" s="1"/>
  <c r="G74" i="15"/>
  <c r="F14" i="15"/>
  <c r="P38" i="15"/>
  <c r="P37" i="15" s="1"/>
  <c r="V14" i="15"/>
  <c r="V74" i="15" s="1"/>
  <c r="V78" i="15"/>
  <c r="Y23" i="15"/>
  <c r="X27" i="15"/>
  <c r="H42" i="15"/>
  <c r="U27" i="15"/>
  <c r="G42" i="15"/>
  <c r="J79" i="15"/>
  <c r="K80" i="15"/>
  <c r="K79" i="15" s="1"/>
  <c r="X39" i="15"/>
  <c r="J55" i="15"/>
  <c r="K55" i="15" s="1"/>
  <c r="K40" i="15"/>
  <c r="Y38" i="15"/>
  <c r="K48" i="15"/>
  <c r="J44" i="15"/>
  <c r="K44" i="15" s="1"/>
  <c r="J63" i="15"/>
  <c r="V8" i="15"/>
  <c r="G39" i="15"/>
  <c r="U24" i="15"/>
  <c r="U14" i="15"/>
  <c r="U75" i="15"/>
  <c r="U74" i="15" s="1"/>
  <c r="U67" i="15" s="1"/>
  <c r="J42" i="15"/>
  <c r="J38" i="15" s="1"/>
  <c r="K27" i="15"/>
  <c r="K23" i="15" s="1"/>
  <c r="K22" i="15" s="1"/>
  <c r="F79" i="15"/>
  <c r="Y79" i="15" s="1"/>
  <c r="O79" i="15"/>
  <c r="P79" i="15" s="1"/>
  <c r="N52" i="15"/>
  <c r="P52" i="15" s="1"/>
  <c r="S7" i="15" l="1"/>
  <c r="R37" i="15"/>
  <c r="X49" i="15"/>
  <c r="Y14" i="15"/>
  <c r="P74" i="15"/>
  <c r="Y74" i="15"/>
  <c r="G63" i="15"/>
  <c r="G44" i="15"/>
  <c r="K65" i="15"/>
  <c r="J64" i="15"/>
  <c r="K64" i="15" s="1"/>
  <c r="H57" i="15"/>
  <c r="X42" i="15"/>
  <c r="H68" i="15"/>
  <c r="H67" i="15" s="1"/>
  <c r="G68" i="15"/>
  <c r="G67" i="15" s="1"/>
  <c r="F68" i="15"/>
  <c r="J68" i="15"/>
  <c r="J67" i="15" s="1"/>
  <c r="R68" i="15"/>
  <c r="R67" i="15" s="1"/>
  <c r="O68" i="15"/>
  <c r="N68" i="15"/>
  <c r="N67" i="15" s="1"/>
  <c r="K68" i="15"/>
  <c r="K67" i="15" s="1"/>
  <c r="K38" i="15"/>
  <c r="K37" i="15" s="1"/>
  <c r="J37" i="15"/>
  <c r="G57" i="15"/>
  <c r="U57" i="15" s="1"/>
  <c r="U42" i="15"/>
  <c r="J57" i="15"/>
  <c r="K57" i="15" s="1"/>
  <c r="K42" i="15"/>
  <c r="H64" i="15"/>
  <c r="X65" i="15"/>
  <c r="X44" i="15"/>
  <c r="K63" i="15"/>
  <c r="J59" i="15"/>
  <c r="K59" i="15" s="1"/>
  <c r="F63" i="15"/>
  <c r="F59" i="15" s="1"/>
  <c r="F44" i="15"/>
  <c r="Y22" i="15"/>
  <c r="K54" i="15"/>
  <c r="X40" i="15"/>
  <c r="H55" i="15"/>
  <c r="H38" i="15"/>
  <c r="I7" i="15"/>
  <c r="K8" i="15"/>
  <c r="K7" i="15" s="1"/>
  <c r="X63" i="15"/>
  <c r="H59" i="15"/>
  <c r="G65" i="15"/>
  <c r="G49" i="15"/>
  <c r="F22" i="15"/>
  <c r="X58" i="15"/>
  <c r="H22" i="15"/>
  <c r="X23" i="15"/>
  <c r="X22" i="15" s="1"/>
  <c r="G58" i="15"/>
  <c r="U58" i="15" s="1"/>
  <c r="U43" i="15"/>
  <c r="U39" i="15"/>
  <c r="G54" i="15"/>
  <c r="G38" i="15"/>
  <c r="X68" i="15"/>
  <c r="X67" i="15" s="1"/>
  <c r="X7" i="15"/>
  <c r="U23" i="15"/>
  <c r="U22" i="15" s="1"/>
  <c r="F8" i="15"/>
  <c r="G7" i="15"/>
  <c r="V68" i="15"/>
  <c r="V67" i="15" s="1"/>
  <c r="V7" i="15"/>
  <c r="G22" i="15"/>
  <c r="X59" i="15" l="1"/>
  <c r="U38" i="15"/>
  <c r="U37" i="15" s="1"/>
  <c r="X64" i="15"/>
  <c r="G37" i="15"/>
  <c r="X55" i="15"/>
  <c r="H53" i="15"/>
  <c r="J53" i="15"/>
  <c r="H37" i="15"/>
  <c r="X38" i="15"/>
  <c r="X37" i="15" s="1"/>
  <c r="Y8" i="15"/>
  <c r="Y7" i="15" s="1"/>
  <c r="F7" i="15"/>
  <c r="Y44" i="15"/>
  <c r="Y37" i="15" s="1"/>
  <c r="F37" i="15"/>
  <c r="X57" i="15"/>
  <c r="P68" i="15"/>
  <c r="P67" i="15" s="1"/>
  <c r="O67" i="15"/>
  <c r="F67" i="15"/>
  <c r="Y68" i="15"/>
  <c r="Y67" i="15" s="1"/>
  <c r="G64" i="15"/>
  <c r="U65" i="15"/>
  <c r="U64" i="15" s="1"/>
  <c r="Y59" i="15"/>
  <c r="Y52" i="15" s="1"/>
  <c r="F52" i="15"/>
  <c r="G53" i="15"/>
  <c r="U54" i="15"/>
  <c r="U53" i="15" s="1"/>
  <c r="U63" i="15"/>
  <c r="U59" i="15" s="1"/>
  <c r="G59" i="15"/>
  <c r="U52" i="15" l="1"/>
  <c r="G52" i="15"/>
  <c r="K53" i="15"/>
  <c r="J52" i="15"/>
  <c r="K52" i="15" s="1"/>
  <c r="H52" i="15"/>
  <c r="X53" i="15"/>
  <c r="X52" i="15" s="1"/>
</calcChain>
</file>

<file path=xl/sharedStrings.xml><?xml version="1.0" encoding="utf-8"?>
<sst xmlns="http://schemas.openxmlformats.org/spreadsheetml/2006/main" count="782" uniqueCount="90">
  <si>
    <t>ĐVT</t>
  </si>
  <si>
    <t>Quy định dự trữ</t>
  </si>
  <si>
    <t>Tiêu thụ</t>
  </si>
  <si>
    <t>GĐCB</t>
  </si>
  <si>
    <t>GĐCĐ</t>
  </si>
  <si>
    <t>LTTP</t>
  </si>
  <si>
    <t>Tấn</t>
  </si>
  <si>
    <t>Hiện có</t>
  </si>
  <si>
    <t>Kho/d</t>
  </si>
  <si>
    <t>+</t>
  </si>
  <si>
    <t>Chỉ tiêu</t>
  </si>
  <si>
    <t>TL ĐVT</t>
  </si>
  <si>
    <t>TL ĐVT (d)</t>
  </si>
  <si>
    <t>TL ĐVT (PT)</t>
  </si>
  <si>
    <t>Quy định dự trữ, tiêu thụ</t>
  </si>
  <si>
    <t>PC TQĐ</t>
  </si>
  <si>
    <t>Bổ sung</t>
  </si>
  <si>
    <t>Kế hoạch tiếp nhận, bảo đảm</t>
  </si>
  <si>
    <t>PC SCĐ</t>
  </si>
  <si>
    <t>ĐV</t>
  </si>
  <si>
    <t>Thời gian</t>
  </si>
  <si>
    <t>Địa điểm</t>
  </si>
  <si>
    <t>Phương thức</t>
  </si>
  <si>
    <t>Trách nhiệm vận chuyển</t>
  </si>
  <si>
    <t>d</t>
  </si>
  <si>
    <t>PT</t>
  </si>
  <si>
    <t>Quy định, phân cấp dự trữ vật chất hậu cần, vật tư kỹ thuật</t>
  </si>
  <si>
    <t>I. Toàn d</t>
  </si>
  <si>
    <t>1. Quân nhu</t>
  </si>
  <si>
    <t>N/a</t>
  </si>
  <si>
    <t>Tỷ lệ TBBB</t>
  </si>
  <si>
    <t>Lương khô</t>
  </si>
  <si>
    <t>ĐSTB</t>
  </si>
  <si>
    <t>%QS</t>
  </si>
  <si>
    <t>-</t>
  </si>
  <si>
    <t>QLCĐ</t>
  </si>
  <si>
    <t>QTCĐ</t>
  </si>
  <si>
    <t>2. Quân y</t>
  </si>
  <si>
    <t>Túi y sĩ</t>
  </si>
  <si>
    <t>Túi</t>
  </si>
  <si>
    <t>Túi y tá</t>
  </si>
  <si>
    <t>Túi cứu thương</t>
  </si>
  <si>
    <t>BCN</t>
  </si>
  <si>
    <t>C/ng</t>
  </si>
  <si>
    <t>3. Doanh trại</t>
  </si>
  <si>
    <t>Dầu thắp</t>
  </si>
  <si>
    <t>ngày</t>
  </si>
  <si>
    <t>4. VTKT</t>
  </si>
  <si>
    <t>II. Hướng chủ yếu</t>
  </si>
  <si>
    <t>II. Hướng thứ yếu</t>
  </si>
  <si>
    <t>II. BP PNPS</t>
  </si>
  <si>
    <t>II. LL còn lại</t>
  </si>
  <si>
    <t>LỰC LƯỢNG</t>
  </si>
  <si>
    <t>1. Trong biên chế</t>
  </si>
  <si>
    <t>dBB</t>
  </si>
  <si>
    <t>2. LL phối thuộc</t>
  </si>
  <si>
    <t>1 cO100/e</t>
  </si>
  <si>
    <t>1 cSPG-9/e</t>
  </si>
  <si>
    <t>1 cSMPK 12,7mm/e</t>
  </si>
  <si>
    <t>1b VTB/e</t>
  </si>
  <si>
    <t>1 tổ QY/e</t>
  </si>
  <si>
    <t>1 bHH/f</t>
  </si>
  <si>
    <t>1 c CB(-)/e</t>
  </si>
  <si>
    <t>1 tổ SC/e</t>
  </si>
  <si>
    <t>cBB7/dBB2</t>
  </si>
  <si>
    <t>Tổng</t>
  </si>
  <si>
    <t>cBB1</t>
  </si>
  <si>
    <t>2. LL tăng cường</t>
  </si>
  <si>
    <t>1 b SPG-9/e</t>
  </si>
  <si>
    <t>cCo82(-)/d</t>
  </si>
  <si>
    <t>b SMPK 12,7mm/e</t>
  </si>
  <si>
    <t>cBB2 (-)</t>
  </si>
  <si>
    <t>Y tá/d</t>
  </si>
  <si>
    <t>Nuôi quân/d</t>
  </si>
  <si>
    <t>a VTB</t>
  </si>
  <si>
    <t>cBB7</t>
  </si>
  <si>
    <t>1bSPG9/d</t>
  </si>
  <si>
    <t>1bCo82/d</t>
  </si>
  <si>
    <t>1bSMPK12,7</t>
  </si>
  <si>
    <t>Nuôi quân</t>
  </si>
  <si>
    <t>cBB3</t>
  </si>
  <si>
    <t xml:space="preserve">Nuôi quân </t>
  </si>
  <si>
    <t>Lực lượng còn lại</t>
  </si>
  <si>
    <t>2. Lực lượng tăng cường</t>
  </si>
  <si>
    <t>1cCo100mm/e</t>
  </si>
  <si>
    <t>1cSPG-9/e</t>
  </si>
  <si>
    <t>1cSMPK12,7mm/e</t>
  </si>
  <si>
    <t>1cCB(-)/e</t>
  </si>
  <si>
    <t>1bHH/f</t>
  </si>
  <si>
    <t>1bVTB/e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</si>
</sst>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1">
    <font>
      <sz val="11"/>
      <color theme="1"/>
      <name val="Calibri"/>
      <charset val="13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#9Slide02 Tieu de rat dai 01"/>
      <charset val="163"/>
    </font>
    <font>
      <sz val="14"/>
      <color theme="1"/>
      <name val="Calibri"/>
      <family val="2"/>
      <charset val="163"/>
      <scheme val="minor"/>
    </font>
    <font>
      <b/>
      <sz val="13"/>
      <color theme="1"/>
      <name val="#9Slide02 Tieu de rat dai 01"/>
      <charset val="163"/>
    </font>
    <font>
      <sz val="13"/>
      <color theme="1"/>
      <name val="#9Slide02 Tieu de rat dai 01"/>
      <charset val="163"/>
    </font>
    <font>
      <sz val="14"/>
      <color theme="1"/>
      <name val="#9Slide02 Tieu de rat dai 01"/>
      <charset val="163"/>
    </font>
    <font>
      <sz val="14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rgb="FFFF0000"/>
      <name val="Times New Roman"/>
      <family val="1"/>
      <charset val="163"/>
    </font>
    <font>
      <sz val="14"/>
      <color theme="1"/>
      <name val="Times New Roman"/>
      <family val="1"/>
      <charset val="163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center" wrapText="1"/>
    </xf>
    <xf numFmtId="0" fontId="10" fillId="0" borderId="1" xfId="0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justify" vertical="center" wrapText="1"/>
    </xf>
    <xf numFmtId="0" fontId="11" fillId="0" borderId="0" xfId="0" applyFont="1" applyAlignment="1">
      <alignment vertical="center" wrapText="1"/>
    </xf>
    <xf numFmtId="0" fontId="4" fillId="0" borderId="1" xfId="0" applyFont="1" applyBorder="1"/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justify" vertical="center" wrapText="1"/>
    </xf>
    <xf numFmtId="0" fontId="12" fillId="6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4" fillId="0" borderId="0" xfId="0" applyFont="1"/>
    <xf numFmtId="0" fontId="1" fillId="7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justify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17" fillId="4" borderId="1" xfId="0" applyNumberFormat="1" applyFont="1" applyFill="1" applyBorder="1" applyAlignment="1">
      <alignment horizontal="center" vertical="center"/>
    </xf>
    <xf numFmtId="0" fontId="17" fillId="0" borderId="0" xfId="0" applyFont="1"/>
    <xf numFmtId="0" fontId="19" fillId="0" borderId="0" xfId="0" applyFont="1"/>
    <xf numFmtId="0" fontId="19" fillId="2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9" fillId="2" borderId="1" xfId="0" quotePrefix="1" applyFont="1" applyFill="1" applyBorder="1" applyAlignment="1">
      <alignment horizontal="center" vertical="center" wrapText="1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center" vertical="center"/>
    </xf>
    <xf numFmtId="2" fontId="19" fillId="2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2" fontId="19" fillId="0" borderId="1" xfId="0" applyNumberFormat="1" applyFont="1" applyBorder="1" applyAlignment="1">
      <alignment horizontal="center" vertical="center"/>
    </xf>
    <xf numFmtId="0" fontId="17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2" fontId="17" fillId="2" borderId="1" xfId="0" applyNumberFormat="1" applyFont="1" applyFill="1" applyBorder="1" applyAlignment="1">
      <alignment vertical="center"/>
    </xf>
    <xf numFmtId="2" fontId="17" fillId="2" borderId="1" xfId="0" applyNumberFormat="1" applyFont="1" applyFill="1" applyBorder="1" applyAlignment="1">
      <alignment horizontal="center" vertical="center"/>
    </xf>
    <xf numFmtId="1" fontId="17" fillId="2" borderId="1" xfId="0" quotePrefix="1" applyNumberFormat="1" applyFont="1" applyFill="1" applyBorder="1" applyAlignment="1">
      <alignment horizontal="center" vertical="center"/>
    </xf>
    <xf numFmtId="0" fontId="17" fillId="2" borderId="1" xfId="0" applyFont="1" applyFill="1" applyBorder="1"/>
    <xf numFmtId="2" fontId="19" fillId="2" borderId="1" xfId="0" applyNumberFormat="1" applyFont="1" applyFill="1" applyBorder="1" applyAlignment="1">
      <alignment vertical="center"/>
    </xf>
    <xf numFmtId="2" fontId="19" fillId="4" borderId="1" xfId="0" applyNumberFormat="1" applyFont="1" applyFill="1" applyBorder="1" applyAlignment="1">
      <alignment horizontal="center" vertical="center"/>
    </xf>
    <xf numFmtId="164" fontId="19" fillId="2" borderId="1" xfId="0" applyNumberFormat="1" applyFont="1" applyFill="1" applyBorder="1" applyAlignment="1">
      <alignment horizontal="center" vertical="center"/>
    </xf>
    <xf numFmtId="1" fontId="19" fillId="2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164" fontId="17" fillId="2" borderId="1" xfId="0" applyNumberFormat="1" applyFont="1" applyFill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2" fontId="19" fillId="2" borderId="1" xfId="0" quotePrefix="1" applyNumberFormat="1" applyFont="1" applyFill="1" applyBorder="1" applyAlignment="1">
      <alignment horizontal="center" vertical="center"/>
    </xf>
    <xf numFmtId="0" fontId="19" fillId="8" borderId="1" xfId="0" applyFont="1" applyFill="1" applyBorder="1"/>
    <xf numFmtId="0" fontId="19" fillId="8" borderId="1" xfId="0" applyFont="1" applyFill="1" applyBorder="1" applyAlignment="1">
      <alignment horizontal="center" vertical="center"/>
    </xf>
    <xf numFmtId="2" fontId="19" fillId="8" borderId="1" xfId="0" applyNumberFormat="1" applyFont="1" applyFill="1" applyBorder="1" applyAlignment="1">
      <alignment horizontal="center" vertical="center"/>
    </xf>
    <xf numFmtId="1" fontId="17" fillId="8" borderId="1" xfId="0" quotePrefix="1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8" borderId="1" xfId="0" applyFont="1" applyFill="1" applyBorder="1" applyAlignment="1">
      <alignment vertical="center"/>
    </xf>
    <xf numFmtId="1" fontId="19" fillId="8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7" fillId="8" borderId="1" xfId="0" applyFont="1" applyFill="1" applyBorder="1" applyAlignment="1">
      <alignment vertical="center"/>
    </xf>
    <xf numFmtId="0" fontId="17" fillId="8" borderId="1" xfId="0" applyFont="1" applyFill="1" applyBorder="1" applyAlignment="1">
      <alignment horizontal="center" vertical="center"/>
    </xf>
    <xf numFmtId="1" fontId="17" fillId="8" borderId="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2" fontId="17" fillId="8" borderId="1" xfId="0" applyNumberFormat="1" applyFont="1" applyFill="1" applyBorder="1" applyAlignment="1">
      <alignment vertical="center"/>
    </xf>
    <xf numFmtId="2" fontId="17" fillId="8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7" fillId="8" borderId="1" xfId="0" quotePrefix="1" applyFont="1" applyFill="1" applyBorder="1" applyAlignment="1">
      <alignment horizontal="center" vertical="center"/>
    </xf>
    <xf numFmtId="0" fontId="20" fillId="0" borderId="0" xfId="0" applyFont="1" applyAlignment="1">
      <alignment vertical="center" textRotation="90"/>
    </xf>
    <xf numFmtId="0" fontId="20" fillId="0" borderId="0" xfId="0" quotePrefix="1" applyFont="1" applyAlignment="1">
      <alignment vertical="center" textRotation="90"/>
    </xf>
    <xf numFmtId="0" fontId="17" fillId="0" borderId="0" xfId="0" applyFont="1" applyAlignment="1">
      <alignment vertical="center"/>
    </xf>
    <xf numFmtId="0" fontId="17" fillId="8" borderId="1" xfId="0" applyFont="1" applyFill="1" applyBorder="1"/>
    <xf numFmtId="0" fontId="17" fillId="0" borderId="0" xfId="0" applyFont="1" applyAlignment="1">
      <alignment horizontal="center" vertical="center" wrapText="1"/>
    </xf>
    <xf numFmtId="2" fontId="19" fillId="8" borderId="1" xfId="0" applyNumberFormat="1" applyFont="1" applyFill="1" applyBorder="1" applyAlignment="1">
      <alignment vertical="center"/>
    </xf>
    <xf numFmtId="0" fontId="19" fillId="0" borderId="0" xfId="0" applyFont="1" applyAlignment="1">
      <alignment vertical="center"/>
    </xf>
    <xf numFmtId="1" fontId="19" fillId="4" borderId="1" xfId="0" applyNumberFormat="1" applyFont="1" applyFill="1" applyBorder="1" applyAlignment="1">
      <alignment horizontal="center" vertical="center"/>
    </xf>
    <xf numFmtId="0" fontId="19" fillId="9" borderId="1" xfId="0" applyFont="1" applyFill="1" applyBorder="1"/>
    <xf numFmtId="0" fontId="19" fillId="9" borderId="1" xfId="0" applyFont="1" applyFill="1" applyBorder="1" applyAlignment="1">
      <alignment horizontal="center" vertical="center"/>
    </xf>
    <xf numFmtId="2" fontId="19" fillId="9" borderId="1" xfId="0" applyNumberFormat="1" applyFont="1" applyFill="1" applyBorder="1" applyAlignment="1">
      <alignment horizontal="center" vertical="center"/>
    </xf>
    <xf numFmtId="1" fontId="17" fillId="9" borderId="1" xfId="0" quotePrefix="1" applyNumberFormat="1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vertical="center"/>
    </xf>
    <xf numFmtId="2" fontId="17" fillId="9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vertical="center"/>
    </xf>
    <xf numFmtId="0" fontId="17" fillId="9" borderId="1" xfId="0" applyFont="1" applyFill="1" applyBorder="1" applyAlignment="1">
      <alignment horizontal="center" vertical="center"/>
    </xf>
    <xf numFmtId="1" fontId="17" fillId="9" borderId="1" xfId="0" applyNumberFormat="1" applyFont="1" applyFill="1" applyBorder="1" applyAlignment="1">
      <alignment horizontal="center" vertical="center"/>
    </xf>
    <xf numFmtId="1" fontId="19" fillId="9" borderId="1" xfId="0" applyNumberFormat="1" applyFont="1" applyFill="1" applyBorder="1" applyAlignment="1">
      <alignment horizontal="center" vertical="center"/>
    </xf>
    <xf numFmtId="2" fontId="17" fillId="9" borderId="1" xfId="0" applyNumberFormat="1" applyFont="1" applyFill="1" applyBorder="1" applyAlignment="1">
      <alignment vertical="center"/>
    </xf>
    <xf numFmtId="0" fontId="17" fillId="9" borderId="1" xfId="0" quotePrefix="1" applyFont="1" applyFill="1" applyBorder="1" applyAlignment="1">
      <alignment horizontal="center" vertical="center"/>
    </xf>
    <xf numFmtId="1" fontId="19" fillId="9" borderId="1" xfId="0" quotePrefix="1" applyNumberFormat="1" applyFont="1" applyFill="1" applyBorder="1" applyAlignment="1">
      <alignment horizontal="center" vertical="center"/>
    </xf>
    <xf numFmtId="2" fontId="19" fillId="9" borderId="1" xfId="0" quotePrefix="1" applyNumberFormat="1" applyFont="1" applyFill="1" applyBorder="1" applyAlignment="1">
      <alignment horizontal="center" vertical="center"/>
    </xf>
    <xf numFmtId="0" fontId="17" fillId="9" borderId="1" xfId="0" applyFont="1" applyFill="1" applyBorder="1"/>
    <xf numFmtId="2" fontId="19" fillId="9" borderId="1" xfId="0" applyNumberFormat="1" applyFont="1" applyFill="1" applyBorder="1" applyAlignment="1">
      <alignment vertical="center"/>
    </xf>
    <xf numFmtId="166" fontId="19" fillId="9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/>
    <xf numFmtId="0" fontId="19" fillId="10" borderId="1" xfId="0" applyFont="1" applyFill="1" applyBorder="1" applyAlignment="1">
      <alignment horizontal="center" vertical="center"/>
    </xf>
    <xf numFmtId="2" fontId="19" fillId="10" borderId="1" xfId="0" applyNumberFormat="1" applyFont="1" applyFill="1" applyBorder="1" applyAlignment="1">
      <alignment horizontal="center" vertical="center"/>
    </xf>
    <xf numFmtId="1" fontId="17" fillId="10" borderId="1" xfId="0" quotePrefix="1" applyNumberFormat="1" applyFont="1" applyFill="1" applyBorder="1" applyAlignment="1">
      <alignment horizontal="center" vertical="center"/>
    </xf>
    <xf numFmtId="2" fontId="17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vertical="center"/>
    </xf>
    <xf numFmtId="165" fontId="19" fillId="10" borderId="1" xfId="0" applyNumberFormat="1" applyFont="1" applyFill="1" applyBorder="1" applyAlignment="1">
      <alignment horizontal="center" vertical="center"/>
    </xf>
    <xf numFmtId="165" fontId="19" fillId="4" borderId="1" xfId="0" applyNumberFormat="1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vertical="center"/>
    </xf>
    <xf numFmtId="0" fontId="17" fillId="10" borderId="1" xfId="0" applyFont="1" applyFill="1" applyBorder="1" applyAlignment="1">
      <alignment horizontal="center" vertical="center"/>
    </xf>
    <xf numFmtId="1" fontId="17" fillId="10" borderId="1" xfId="0" applyNumberFormat="1" applyFont="1" applyFill="1" applyBorder="1" applyAlignment="1">
      <alignment horizontal="center" vertical="center"/>
    </xf>
    <xf numFmtId="1" fontId="19" fillId="10" borderId="1" xfId="0" applyNumberFormat="1" applyFont="1" applyFill="1" applyBorder="1" applyAlignment="1">
      <alignment horizontal="center" vertical="center"/>
    </xf>
    <xf numFmtId="2" fontId="17" fillId="10" borderId="1" xfId="0" applyNumberFormat="1" applyFont="1" applyFill="1" applyBorder="1" applyAlignment="1">
      <alignment vertical="center"/>
    </xf>
    <xf numFmtId="0" fontId="17" fillId="10" borderId="1" xfId="0" quotePrefix="1" applyFont="1" applyFill="1" applyBorder="1" applyAlignment="1">
      <alignment horizontal="center" vertical="center"/>
    </xf>
    <xf numFmtId="1" fontId="19" fillId="10" borderId="1" xfId="0" quotePrefix="1" applyNumberFormat="1" applyFont="1" applyFill="1" applyBorder="1" applyAlignment="1">
      <alignment horizontal="center" vertical="center"/>
    </xf>
    <xf numFmtId="2" fontId="19" fillId="10" borderId="1" xfId="0" quotePrefix="1" applyNumberFormat="1" applyFont="1" applyFill="1" applyBorder="1" applyAlignment="1">
      <alignment horizontal="center" vertical="center"/>
    </xf>
    <xf numFmtId="0" fontId="17" fillId="10" borderId="1" xfId="0" applyFont="1" applyFill="1" applyBorder="1"/>
    <xf numFmtId="2" fontId="19" fillId="10" borderId="1" xfId="0" applyNumberFormat="1" applyFont="1" applyFill="1" applyBorder="1" applyAlignment="1">
      <alignment vertical="center"/>
    </xf>
    <xf numFmtId="166" fontId="19" fillId="10" borderId="1" xfId="0" applyNumberFormat="1" applyFont="1" applyFill="1" applyBorder="1" applyAlignment="1">
      <alignment horizontal="center" vertical="center"/>
    </xf>
    <xf numFmtId="0" fontId="17" fillId="10" borderId="0" xfId="0" applyFont="1" applyFill="1"/>
    <xf numFmtId="0" fontId="19" fillId="7" borderId="1" xfId="0" applyFont="1" applyFill="1" applyBorder="1"/>
    <xf numFmtId="0" fontId="19" fillId="7" borderId="1" xfId="0" applyFont="1" applyFill="1" applyBorder="1" applyAlignment="1">
      <alignment horizontal="center" vertical="center"/>
    </xf>
    <xf numFmtId="2" fontId="19" fillId="7" borderId="1" xfId="0" applyNumberFormat="1" applyFont="1" applyFill="1" applyBorder="1" applyAlignment="1">
      <alignment horizontal="center" vertical="center"/>
    </xf>
    <xf numFmtId="2" fontId="19" fillId="7" borderId="1" xfId="0" quotePrefix="1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vertical="center"/>
    </xf>
    <xf numFmtId="0" fontId="17" fillId="7" borderId="1" xfId="0" applyFont="1" applyFill="1" applyBorder="1" applyAlignment="1">
      <alignment vertical="center"/>
    </xf>
    <xf numFmtId="0" fontId="17" fillId="7" borderId="1" xfId="0" applyFont="1" applyFill="1" applyBorder="1" applyAlignment="1">
      <alignment horizontal="center" vertical="center"/>
    </xf>
    <xf numFmtId="1" fontId="17" fillId="7" borderId="1" xfId="0" applyNumberFormat="1" applyFont="1" applyFill="1" applyBorder="1" applyAlignment="1">
      <alignment horizontal="center" vertical="center"/>
    </xf>
    <xf numFmtId="1" fontId="19" fillId="7" borderId="1" xfId="0" applyNumberFormat="1" applyFont="1" applyFill="1" applyBorder="1" applyAlignment="1">
      <alignment horizontal="center" vertical="center"/>
    </xf>
    <xf numFmtId="2" fontId="17" fillId="7" borderId="1" xfId="0" applyNumberFormat="1" applyFont="1" applyFill="1" applyBorder="1" applyAlignment="1">
      <alignment vertical="center"/>
    </xf>
    <xf numFmtId="165" fontId="17" fillId="7" borderId="1" xfId="0" applyNumberFormat="1" applyFont="1" applyFill="1" applyBorder="1" applyAlignment="1">
      <alignment horizontal="center" vertical="center"/>
    </xf>
    <xf numFmtId="0" fontId="17" fillId="7" borderId="1" xfId="0" applyFont="1" applyFill="1" applyBorder="1"/>
    <xf numFmtId="2" fontId="19" fillId="7" borderId="1" xfId="0" applyNumberFormat="1" applyFont="1" applyFill="1" applyBorder="1" applyAlignment="1">
      <alignment vertical="center"/>
    </xf>
    <xf numFmtId="164" fontId="17" fillId="7" borderId="1" xfId="0" applyNumberFormat="1" applyFont="1" applyFill="1" applyBorder="1" applyAlignment="1">
      <alignment horizontal="center" vertical="center"/>
    </xf>
    <xf numFmtId="165" fontId="19" fillId="7" borderId="1" xfId="0" applyNumberFormat="1" applyFont="1" applyFill="1" applyBorder="1" applyAlignment="1">
      <alignment horizontal="center" vertical="center"/>
    </xf>
    <xf numFmtId="2" fontId="17" fillId="7" borderId="1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9" fillId="2" borderId="10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19" fillId="2" borderId="8" xfId="0" quotePrefix="1" applyFont="1" applyFill="1" applyBorder="1" applyAlignment="1">
      <alignment horizontal="center" vertical="center" wrapText="1"/>
    </xf>
    <xf numFmtId="0" fontId="19" fillId="2" borderId="15" xfId="0" quotePrefix="1" applyFont="1" applyFill="1" applyBorder="1" applyAlignment="1">
      <alignment horizontal="center" vertical="center" wrapText="1"/>
    </xf>
    <xf numFmtId="0" fontId="19" fillId="2" borderId="21" xfId="0" quotePrefix="1" applyFont="1" applyFill="1" applyBorder="1" applyAlignment="1">
      <alignment horizontal="center" vertical="center" wrapText="1"/>
    </xf>
    <xf numFmtId="0" fontId="19" fillId="2" borderId="19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9DC29-4E0B-45C9-9B13-F880900DC666}">
  <dimension ref="A1:AF81"/>
  <sheetViews>
    <sheetView topLeftCell="A59" workbookViewId="0">
      <selection activeCell="C8" sqref="C8"/>
    </sheetView>
  </sheetViews>
  <sheetFormatPr defaultColWidth="9.33203125" defaultRowHeight="18"/>
  <cols>
    <col min="1" max="1" width="28.109375" style="9" customWidth="1"/>
    <col min="2" max="2" width="9.33203125" style="9"/>
    <col min="3" max="13" width="8.6640625" style="9" customWidth="1"/>
    <col min="14" max="15" width="9.6640625" style="33" customWidth="1"/>
    <col min="16" max="17" width="9.33203125" style="9"/>
    <col min="18" max="18" width="15.109375" style="9" bestFit="1" customWidth="1"/>
    <col min="19" max="19" width="9.33203125" style="9"/>
    <col min="20" max="20" width="12.5546875" style="9" customWidth="1"/>
    <col min="21" max="16384" width="9.33203125" style="9"/>
  </cols>
  <sheetData>
    <row r="1" spans="1:32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</row>
    <row r="2" spans="1:32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</row>
    <row r="3" spans="1:32">
      <c r="A3" s="160" t="s">
        <v>52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2"/>
      <c r="O3" s="162"/>
    </row>
    <row r="4" spans="1:32" ht="33.6" customHeight="1">
      <c r="A4" s="160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0"/>
      <c r="M4" s="10"/>
      <c r="N4" s="11"/>
      <c r="O4" s="11"/>
    </row>
    <row r="5" spans="1:32">
      <c r="A5" s="160"/>
      <c r="B5" s="160"/>
      <c r="C5" s="10"/>
      <c r="D5" s="10"/>
      <c r="E5" s="10"/>
      <c r="F5" s="10"/>
      <c r="G5" s="10"/>
      <c r="H5" s="160"/>
      <c r="I5" s="10"/>
      <c r="J5" s="10"/>
      <c r="K5" s="10"/>
      <c r="L5" s="10"/>
      <c r="M5" s="10"/>
      <c r="N5" s="12"/>
      <c r="O5" s="12"/>
    </row>
    <row r="6" spans="1:32">
      <c r="A6" s="13" t="s">
        <v>53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spans="1:32" ht="18.899999999999999" customHeight="1">
      <c r="A7" s="14" t="s">
        <v>54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2"/>
      <c r="O7" s="12"/>
    </row>
    <row r="8" spans="1:32">
      <c r="A8" s="13" t="s">
        <v>55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32">
      <c r="A9" s="15" t="s">
        <v>56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2"/>
      <c r="O9" s="12"/>
    </row>
    <row r="10" spans="1:32">
      <c r="A10" s="15" t="s">
        <v>57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2"/>
      <c r="O10" s="12"/>
    </row>
    <row r="11" spans="1:32">
      <c r="A11" s="15" t="s">
        <v>58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2"/>
      <c r="O11" s="12"/>
    </row>
    <row r="12" spans="1:32">
      <c r="A12" s="15" t="s">
        <v>59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12"/>
      <c r="O12" s="12"/>
    </row>
    <row r="13" spans="1:32">
      <c r="A13" s="16" t="s">
        <v>60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2"/>
      <c r="O13" s="12"/>
    </row>
    <row r="14" spans="1:32">
      <c r="A14" s="16" t="s">
        <v>61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2"/>
      <c r="O14" s="12"/>
    </row>
    <row r="15" spans="1:32">
      <c r="A15" s="15" t="s">
        <v>62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12"/>
      <c r="O15" s="12"/>
    </row>
    <row r="16" spans="1:32">
      <c r="A16" s="15" t="s">
        <v>63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12"/>
      <c r="O16" s="12"/>
      <c r="Q16" s="18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spans="1:32">
      <c r="A17" s="20" t="s">
        <v>64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12"/>
      <c r="O17" s="12"/>
      <c r="Q17" s="21"/>
      <c r="R17" s="22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12"/>
      <c r="O18" s="12"/>
      <c r="Q18" s="25"/>
      <c r="R18" s="26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 spans="1:32">
      <c r="A19" s="27" t="s">
        <v>65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Q19" s="25"/>
      <c r="R19" s="26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spans="1:32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Q20" s="19"/>
      <c r="R20" s="2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  <row r="21" spans="1:32" ht="18.45" customHeight="1">
      <c r="A21" s="159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Q21" s="21"/>
      <c r="R21" s="22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>
      <c r="A22" s="160" t="s">
        <v>52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1"/>
      <c r="O22" s="161"/>
      <c r="Q22" s="21"/>
      <c r="R22" s="22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>
      <c r="A23" s="160"/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0"/>
      <c r="M23" s="10"/>
      <c r="N23" s="11"/>
      <c r="O23" s="11"/>
    </row>
    <row r="24" spans="1:32">
      <c r="A24" s="160"/>
      <c r="B24" s="160"/>
      <c r="C24" s="10"/>
      <c r="D24" s="10"/>
      <c r="E24" s="10"/>
      <c r="F24" s="10"/>
      <c r="G24" s="10"/>
      <c r="H24" s="160"/>
      <c r="I24" s="10"/>
      <c r="J24" s="10"/>
      <c r="K24" s="10"/>
      <c r="L24" s="10"/>
      <c r="M24" s="10"/>
      <c r="N24" s="12"/>
      <c r="O24" s="12"/>
    </row>
    <row r="25" spans="1:32">
      <c r="A25" s="13" t="s">
        <v>53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32">
      <c r="A26" s="14" t="s">
        <v>66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12"/>
      <c r="O26" s="12"/>
    </row>
    <row r="27" spans="1:32">
      <c r="A27" s="13" t="s">
        <v>67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spans="1:32">
      <c r="A28" s="15" t="s">
        <v>68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12"/>
      <c r="O28" s="12"/>
    </row>
    <row r="29" spans="1:32">
      <c r="A29" s="15" t="s">
        <v>69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2"/>
      <c r="O29" s="12"/>
    </row>
    <row r="30" spans="1:32">
      <c r="A30" s="15" t="s">
        <v>70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12"/>
      <c r="O30" s="12"/>
    </row>
    <row r="31" spans="1:32">
      <c r="A31" s="15" t="s">
        <v>71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12"/>
      <c r="O31" s="12"/>
    </row>
    <row r="32" spans="1:32">
      <c r="A32" s="16" t="s">
        <v>72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2"/>
      <c r="O32" s="12"/>
    </row>
    <row r="33" spans="1:15">
      <c r="A33" s="16" t="s">
        <v>73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2"/>
      <c r="O33" s="12"/>
    </row>
    <row r="34" spans="1:15">
      <c r="A34" s="15" t="s">
        <v>74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12"/>
      <c r="O34" s="12"/>
    </row>
    <row r="36" spans="1:15">
      <c r="A36" s="27" t="s">
        <v>65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</row>
    <row r="37" spans="1:15">
      <c r="A37" s="159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</row>
    <row r="38" spans="1:15" ht="18.45" customHeight="1">
      <c r="A38" s="159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</row>
    <row r="39" spans="1:15">
      <c r="A39" s="160" t="s">
        <v>52</v>
      </c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1"/>
      <c r="O39" s="161"/>
    </row>
    <row r="40" spans="1:15">
      <c r="A40" s="160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0"/>
      <c r="M40" s="10"/>
      <c r="N40" s="11"/>
      <c r="O40" s="11"/>
    </row>
    <row r="41" spans="1:15">
      <c r="A41" s="160"/>
      <c r="B41" s="160"/>
      <c r="C41" s="10"/>
      <c r="D41" s="10"/>
      <c r="E41" s="10"/>
      <c r="F41" s="10"/>
      <c r="G41" s="10"/>
      <c r="H41" s="160"/>
      <c r="I41" s="10"/>
      <c r="J41" s="10"/>
      <c r="K41" s="10"/>
      <c r="L41" s="10"/>
      <c r="M41" s="10"/>
      <c r="N41" s="12"/>
      <c r="O41" s="12"/>
    </row>
    <row r="42" spans="1:15">
      <c r="A42" s="13" t="s">
        <v>53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spans="1:15">
      <c r="A43" s="14" t="s">
        <v>75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12"/>
      <c r="O43" s="12"/>
    </row>
    <row r="44" spans="1:15">
      <c r="A44" s="13" t="s">
        <v>67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spans="1:15">
      <c r="A45" s="15" t="s">
        <v>76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12"/>
      <c r="O45" s="12"/>
    </row>
    <row r="46" spans="1:15">
      <c r="A46" s="15" t="s">
        <v>77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12"/>
      <c r="O46" s="12"/>
    </row>
    <row r="47" spans="1:15">
      <c r="A47" s="15" t="s">
        <v>78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12"/>
      <c r="O47" s="12"/>
    </row>
    <row r="48" spans="1:15">
      <c r="A48" s="15" t="s">
        <v>79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12"/>
      <c r="O48" s="12"/>
    </row>
    <row r="49" spans="1:15">
      <c r="A49" s="30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</row>
    <row r="50" spans="1:15">
      <c r="A50" s="30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</row>
    <row r="51" spans="1:15">
      <c r="A51" s="27" t="s">
        <v>65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</row>
    <row r="52" spans="1:15" ht="18.45" customHeight="1">
      <c r="A52" s="159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</row>
    <row r="53" spans="1:15">
      <c r="A53" s="159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</row>
    <row r="54" spans="1:15">
      <c r="A54" s="160" t="s">
        <v>52</v>
      </c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1"/>
      <c r="O54" s="161"/>
    </row>
    <row r="55" spans="1:15">
      <c r="A55" s="160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0"/>
      <c r="M55" s="10"/>
      <c r="N55" s="11"/>
      <c r="O55" s="11"/>
    </row>
    <row r="56" spans="1:15">
      <c r="A56" s="160"/>
      <c r="B56" s="160"/>
      <c r="C56" s="10"/>
      <c r="D56" s="10"/>
      <c r="E56" s="10"/>
      <c r="F56" s="10"/>
      <c r="G56" s="10"/>
      <c r="H56" s="160"/>
      <c r="I56" s="10"/>
      <c r="J56" s="10"/>
      <c r="K56" s="10"/>
      <c r="L56" s="10"/>
      <c r="M56" s="10"/>
      <c r="N56" s="12"/>
      <c r="O56" s="12"/>
    </row>
    <row r="57" spans="1:15">
      <c r="A57" s="13" t="s">
        <v>53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spans="1:15">
      <c r="A58" s="14" t="s">
        <v>80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12"/>
      <c r="O58" s="12"/>
    </row>
    <row r="59" spans="1:15">
      <c r="A59" s="13" t="s">
        <v>67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spans="1:15" ht="18.45" customHeight="1">
      <c r="A60" s="15" t="s">
        <v>81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12"/>
      <c r="O60" s="12"/>
    </row>
    <row r="61" spans="1:15" ht="18.45" customHeight="1">
      <c r="A61" s="1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12"/>
      <c r="O61" s="12"/>
    </row>
    <row r="62" spans="1:15">
      <c r="A62" s="27" t="s">
        <v>65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</row>
    <row r="63" spans="1:15">
      <c r="A63" s="159"/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</row>
    <row r="64" spans="1:15">
      <c r="A64" s="159"/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</row>
    <row r="65" spans="1:15">
      <c r="A65" s="160" t="s">
        <v>52</v>
      </c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1"/>
      <c r="O65" s="161"/>
    </row>
    <row r="66" spans="1:15">
      <c r="A66" s="160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0"/>
      <c r="M66" s="10"/>
      <c r="N66" s="11"/>
      <c r="O66" s="11"/>
    </row>
    <row r="67" spans="1:15">
      <c r="A67" s="160"/>
      <c r="B67" s="160"/>
      <c r="C67" s="10"/>
      <c r="D67" s="10"/>
      <c r="E67" s="10"/>
      <c r="F67" s="10"/>
      <c r="G67" s="10"/>
      <c r="H67" s="160"/>
      <c r="I67" s="10"/>
      <c r="J67" s="10"/>
      <c r="K67" s="10"/>
      <c r="L67" s="10"/>
      <c r="M67" s="10"/>
      <c r="N67" s="12"/>
      <c r="O67" s="12"/>
    </row>
    <row r="68" spans="1:15">
      <c r="A68" s="13" t="s">
        <v>53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spans="1:15">
      <c r="A69" s="32" t="s">
        <v>82</v>
      </c>
      <c r="B69" s="32"/>
      <c r="C69" s="32"/>
      <c r="D69" s="32"/>
      <c r="E69" s="32"/>
      <c r="G69" s="32"/>
      <c r="H69" s="32"/>
      <c r="I69" s="32"/>
      <c r="J69" s="32"/>
      <c r="K69" s="32"/>
      <c r="L69" s="32"/>
      <c r="M69" s="32"/>
      <c r="N69" s="32"/>
      <c r="O69" s="32"/>
    </row>
    <row r="70" spans="1:15" ht="34.799999999999997">
      <c r="A70" s="13" t="s">
        <v>83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spans="1:15">
      <c r="A71" s="15" t="s">
        <v>84</v>
      </c>
      <c r="B71" s="5"/>
      <c r="C71" s="5"/>
      <c r="D71" s="5"/>
      <c r="E71" s="5"/>
      <c r="G71" s="5"/>
      <c r="H71" s="5"/>
      <c r="I71" s="5"/>
      <c r="J71" s="5"/>
      <c r="K71" s="5"/>
      <c r="L71" s="5"/>
      <c r="M71" s="5"/>
      <c r="N71" s="12"/>
      <c r="O71" s="12"/>
    </row>
    <row r="72" spans="1:15">
      <c r="A72" s="15" t="s">
        <v>85</v>
      </c>
      <c r="B72" s="5"/>
      <c r="C72" s="5"/>
      <c r="D72" s="5"/>
      <c r="E72" s="5"/>
      <c r="G72" s="5"/>
      <c r="H72" s="5"/>
      <c r="I72" s="5"/>
      <c r="J72" s="5"/>
      <c r="K72" s="5"/>
      <c r="L72" s="5"/>
      <c r="M72" s="5"/>
      <c r="N72" s="12"/>
      <c r="O72" s="12"/>
    </row>
    <row r="73" spans="1:15">
      <c r="A73" s="15" t="s">
        <v>86</v>
      </c>
      <c r="B73" s="5"/>
      <c r="C73" s="5"/>
      <c r="D73" s="5"/>
      <c r="E73" s="5"/>
      <c r="G73" s="5"/>
      <c r="H73" s="5"/>
      <c r="I73" s="5"/>
      <c r="J73" s="5"/>
      <c r="K73" s="5"/>
      <c r="L73" s="5"/>
      <c r="M73" s="5"/>
      <c r="N73" s="12"/>
      <c r="O73" s="12"/>
    </row>
    <row r="74" spans="1:15">
      <c r="A74" s="15" t="s">
        <v>87</v>
      </c>
      <c r="B74" s="5"/>
      <c r="C74" s="5"/>
      <c r="D74" s="5"/>
      <c r="E74" s="5"/>
      <c r="G74" s="5"/>
      <c r="H74" s="5"/>
      <c r="I74" s="5"/>
      <c r="J74" s="5"/>
      <c r="K74" s="5"/>
      <c r="L74" s="5"/>
      <c r="M74" s="5"/>
      <c r="N74" s="12"/>
      <c r="O74" s="12"/>
    </row>
    <row r="75" spans="1:15">
      <c r="A75" s="16" t="s">
        <v>88</v>
      </c>
      <c r="B75" s="17"/>
      <c r="C75" s="17"/>
      <c r="D75" s="17"/>
      <c r="E75" s="17"/>
      <c r="G75" s="17"/>
      <c r="H75" s="17"/>
      <c r="I75" s="17"/>
      <c r="J75" s="17"/>
      <c r="K75" s="17"/>
      <c r="L75" s="17"/>
      <c r="M75" s="17"/>
      <c r="N75" s="12"/>
      <c r="O75" s="12"/>
    </row>
    <row r="76" spans="1:15">
      <c r="A76" s="16" t="s">
        <v>60</v>
      </c>
      <c r="B76" s="17"/>
      <c r="C76" s="17"/>
      <c r="D76" s="17"/>
      <c r="E76" s="17"/>
      <c r="G76" s="17"/>
      <c r="H76" s="17"/>
      <c r="I76" s="17"/>
      <c r="J76" s="17"/>
      <c r="K76" s="17"/>
      <c r="L76" s="17"/>
      <c r="M76" s="17"/>
      <c r="N76" s="12"/>
      <c r="O76" s="12"/>
    </row>
    <row r="77" spans="1:15">
      <c r="A77" s="16" t="s">
        <v>89</v>
      </c>
      <c r="B77" s="17"/>
      <c r="C77" s="17"/>
      <c r="D77" s="17"/>
      <c r="E77" s="17"/>
      <c r="G77" s="17"/>
      <c r="H77" s="17"/>
      <c r="I77" s="17"/>
      <c r="J77" s="17"/>
      <c r="K77" s="17"/>
      <c r="L77" s="17"/>
      <c r="M77" s="17"/>
      <c r="N77" s="12"/>
      <c r="O77" s="12"/>
    </row>
    <row r="78" spans="1:15">
      <c r="A78" s="15" t="s">
        <v>63</v>
      </c>
      <c r="B78" s="5"/>
      <c r="C78" s="5"/>
      <c r="D78" s="5"/>
      <c r="E78" s="5"/>
      <c r="G78" s="5"/>
      <c r="H78" s="5"/>
      <c r="I78" s="5"/>
      <c r="J78" s="5"/>
      <c r="K78" s="5"/>
      <c r="L78" s="5"/>
      <c r="M78" s="5"/>
      <c r="N78" s="12"/>
      <c r="O78" s="12"/>
    </row>
    <row r="79" spans="1:15">
      <c r="A79" s="1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12"/>
      <c r="O79" s="12"/>
    </row>
    <row r="80" spans="1:15">
      <c r="A80" s="1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12"/>
      <c r="O80" s="12"/>
    </row>
    <row r="81" spans="1:15">
      <c r="A81" s="27" t="s">
        <v>65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</row>
  </sheetData>
  <mergeCells count="40">
    <mergeCell ref="A1:O2"/>
    <mergeCell ref="A3:A5"/>
    <mergeCell ref="B3:B5"/>
    <mergeCell ref="C3:M3"/>
    <mergeCell ref="N3:O3"/>
    <mergeCell ref="C4:G4"/>
    <mergeCell ref="H4:H5"/>
    <mergeCell ref="I4:K4"/>
    <mergeCell ref="A20:O21"/>
    <mergeCell ref="A22:A24"/>
    <mergeCell ref="B22:B24"/>
    <mergeCell ref="C22:M22"/>
    <mergeCell ref="N22:O22"/>
    <mergeCell ref="C23:G23"/>
    <mergeCell ref="H23:H24"/>
    <mergeCell ref="I23:K23"/>
    <mergeCell ref="A37:O38"/>
    <mergeCell ref="A39:A41"/>
    <mergeCell ref="B39:B41"/>
    <mergeCell ref="C39:M39"/>
    <mergeCell ref="N39:O39"/>
    <mergeCell ref="C40:G40"/>
    <mergeCell ref="H40:H41"/>
    <mergeCell ref="I40:K40"/>
    <mergeCell ref="A52:O53"/>
    <mergeCell ref="A54:A56"/>
    <mergeCell ref="B54:B56"/>
    <mergeCell ref="C54:M54"/>
    <mergeCell ref="N54:O54"/>
    <mergeCell ref="C55:G55"/>
    <mergeCell ref="H55:H56"/>
    <mergeCell ref="I55:K55"/>
    <mergeCell ref="A63:O64"/>
    <mergeCell ref="A65:A67"/>
    <mergeCell ref="B65:B67"/>
    <mergeCell ref="C65:M65"/>
    <mergeCell ref="N65:O65"/>
    <mergeCell ref="C66:G66"/>
    <mergeCell ref="H66:H67"/>
    <mergeCell ref="I66:K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C5EA-DD80-4E63-AE83-D9E16B047340}">
  <dimension ref="A1:H40"/>
  <sheetViews>
    <sheetView topLeftCell="A12" workbookViewId="0">
      <selection activeCell="K25" sqref="K25"/>
    </sheetView>
  </sheetViews>
  <sheetFormatPr defaultRowHeight="14.4"/>
  <cols>
    <col min="2" max="2" width="43.33203125" customWidth="1"/>
    <col min="5" max="5" width="10.77734375" customWidth="1"/>
    <col min="6" max="6" width="13" customWidth="1"/>
  </cols>
  <sheetData>
    <row r="1" spans="1:8" ht="17.399999999999999">
      <c r="A1" s="163"/>
      <c r="B1" s="163"/>
      <c r="C1" s="163"/>
      <c r="D1" s="163"/>
      <c r="E1" s="163"/>
      <c r="F1" s="163"/>
      <c r="G1" s="163"/>
      <c r="H1" s="163"/>
    </row>
    <row r="2" spans="1:8" ht="17.399999999999999">
      <c r="A2" s="164"/>
      <c r="B2" s="164"/>
      <c r="C2" s="164"/>
      <c r="D2" s="164"/>
      <c r="E2" s="164"/>
      <c r="F2" s="164"/>
      <c r="G2" s="164"/>
      <c r="H2" s="164"/>
    </row>
    <row r="3" spans="1:8" ht="17.399999999999999">
      <c r="A3" s="164"/>
      <c r="B3" s="164"/>
      <c r="C3" s="164"/>
      <c r="D3" s="164"/>
      <c r="E3" s="164"/>
      <c r="F3" s="164"/>
      <c r="G3" s="1"/>
      <c r="H3" s="1"/>
    </row>
    <row r="4" spans="1:8" ht="18">
      <c r="A4" s="1"/>
      <c r="B4" s="2"/>
      <c r="C4" s="3"/>
      <c r="D4" s="3"/>
      <c r="E4" s="3"/>
      <c r="F4" s="3"/>
      <c r="G4" s="3"/>
      <c r="H4" s="3"/>
    </row>
    <row r="5" spans="1:8" ht="18">
      <c r="A5" s="3"/>
      <c r="B5" s="4"/>
      <c r="C5" s="3"/>
      <c r="D5" s="3"/>
      <c r="E5" s="5"/>
      <c r="F5" s="5"/>
      <c r="G5" s="5"/>
      <c r="H5" s="5"/>
    </row>
    <row r="6" spans="1:8" ht="18">
      <c r="A6" s="3"/>
      <c r="B6" s="4"/>
      <c r="C6" s="3"/>
      <c r="D6" s="3"/>
      <c r="E6" s="5"/>
      <c r="F6" s="5"/>
      <c r="G6" s="5"/>
      <c r="H6" s="5"/>
    </row>
    <row r="7" spans="1:8" ht="18">
      <c r="A7" s="3"/>
      <c r="B7" s="4"/>
      <c r="C7" s="3"/>
      <c r="D7" s="3"/>
      <c r="E7" s="5"/>
      <c r="F7" s="5"/>
      <c r="G7" s="5"/>
      <c r="H7" s="5"/>
    </row>
    <row r="8" spans="1:8" ht="18">
      <c r="A8" s="3"/>
      <c r="B8" s="4"/>
      <c r="C8" s="3"/>
      <c r="D8" s="3"/>
      <c r="E8" s="5"/>
      <c r="F8" s="5"/>
      <c r="G8" s="5"/>
      <c r="H8" s="5"/>
    </row>
    <row r="9" spans="1:8" ht="18">
      <c r="A9" s="3"/>
      <c r="B9" s="4"/>
      <c r="C9" s="3"/>
      <c r="D9" s="3"/>
      <c r="E9" s="5"/>
      <c r="F9" s="5"/>
      <c r="G9" s="5"/>
      <c r="H9" s="5"/>
    </row>
    <row r="10" spans="1:8" ht="18">
      <c r="A10" s="3"/>
      <c r="B10" s="4"/>
      <c r="C10" s="3"/>
      <c r="D10" s="3"/>
      <c r="E10" s="5"/>
      <c r="F10" s="5"/>
      <c r="G10" s="5"/>
      <c r="H10" s="5"/>
    </row>
    <row r="11" spans="1:8" ht="18">
      <c r="A11" s="3"/>
      <c r="B11" s="4"/>
      <c r="C11" s="3"/>
      <c r="D11" s="3"/>
      <c r="E11" s="5"/>
      <c r="F11" s="5"/>
      <c r="G11" s="5"/>
      <c r="H11" s="5"/>
    </row>
    <row r="12" spans="1:8" ht="18">
      <c r="A12" s="3"/>
      <c r="B12" s="4"/>
      <c r="C12" s="3"/>
      <c r="D12" s="3"/>
      <c r="E12" s="5"/>
      <c r="F12" s="5"/>
      <c r="G12" s="5"/>
      <c r="H12" s="5"/>
    </row>
    <row r="13" spans="1:8" ht="18">
      <c r="A13" s="3"/>
      <c r="B13" s="4"/>
      <c r="C13" s="3"/>
      <c r="D13" s="3"/>
      <c r="E13" s="5"/>
      <c r="F13" s="5"/>
      <c r="G13" s="5"/>
      <c r="H13" s="5"/>
    </row>
    <row r="14" spans="1:8" ht="18">
      <c r="A14" s="3"/>
      <c r="B14" s="4"/>
      <c r="C14" s="3"/>
      <c r="D14" s="3"/>
      <c r="E14" s="5"/>
      <c r="F14" s="5"/>
      <c r="G14" s="5"/>
      <c r="H14" s="5"/>
    </row>
    <row r="15" spans="1:8" ht="18">
      <c r="A15" s="1"/>
      <c r="B15" s="2"/>
      <c r="C15" s="3"/>
      <c r="D15" s="3"/>
      <c r="E15" s="5"/>
      <c r="F15" s="5"/>
      <c r="G15" s="5"/>
      <c r="H15" s="5"/>
    </row>
    <row r="16" spans="1:8" ht="18">
      <c r="A16" s="1"/>
      <c r="B16" s="2"/>
      <c r="C16" s="3"/>
      <c r="D16" s="3"/>
      <c r="E16" s="5"/>
      <c r="F16" s="5"/>
      <c r="G16" s="5"/>
      <c r="H16" s="5"/>
    </row>
    <row r="17" spans="1:8" ht="18">
      <c r="A17" s="3"/>
      <c r="B17" s="4"/>
      <c r="C17" s="3"/>
      <c r="D17" s="3"/>
      <c r="E17" s="5"/>
      <c r="F17" s="5"/>
      <c r="G17" s="5"/>
      <c r="H17" s="5"/>
    </row>
    <row r="18" spans="1:8" ht="18">
      <c r="A18" s="3"/>
      <c r="B18" s="4"/>
      <c r="C18" s="3"/>
      <c r="D18" s="3"/>
      <c r="E18" s="5"/>
      <c r="F18" s="5"/>
      <c r="G18" s="5"/>
      <c r="H18" s="5"/>
    </row>
    <row r="19" spans="1:8" ht="18">
      <c r="A19" s="3"/>
      <c r="B19" s="4"/>
      <c r="C19" s="3"/>
      <c r="D19" s="3"/>
      <c r="E19" s="5"/>
      <c r="F19" s="5"/>
      <c r="G19" s="5"/>
      <c r="H19" s="5"/>
    </row>
    <row r="20" spans="1:8" ht="18">
      <c r="A20" s="3"/>
      <c r="B20" s="4"/>
      <c r="C20" s="3"/>
      <c r="D20" s="3"/>
      <c r="E20" s="5"/>
      <c r="F20" s="5"/>
      <c r="G20" s="5"/>
      <c r="H20" s="5"/>
    </row>
    <row r="21" spans="1:8" ht="18">
      <c r="A21" s="3"/>
      <c r="B21" s="4"/>
      <c r="C21" s="3"/>
      <c r="D21" s="3"/>
      <c r="E21" s="5"/>
      <c r="F21" s="5"/>
      <c r="G21" s="5"/>
      <c r="H21" s="5"/>
    </row>
    <row r="22" spans="1:8" ht="18">
      <c r="A22" s="1"/>
      <c r="B22" s="2"/>
      <c r="C22" s="3"/>
      <c r="D22" s="3"/>
      <c r="E22" s="5"/>
      <c r="F22" s="5"/>
      <c r="G22" s="5"/>
      <c r="H22" s="5"/>
    </row>
    <row r="23" spans="1:8" ht="18">
      <c r="A23" s="3"/>
      <c r="B23" s="4"/>
      <c r="C23" s="3"/>
      <c r="D23" s="3"/>
      <c r="E23" s="5"/>
      <c r="F23" s="5"/>
      <c r="G23" s="5"/>
      <c r="H23" s="5"/>
    </row>
    <row r="24" spans="1:8" ht="18">
      <c r="A24" s="3"/>
      <c r="B24" s="4"/>
      <c r="C24" s="3"/>
      <c r="D24" s="3"/>
      <c r="E24" s="5"/>
      <c r="F24" s="5"/>
      <c r="G24" s="5"/>
      <c r="H24" s="5"/>
    </row>
    <row r="25" spans="1:8" ht="18">
      <c r="A25" s="3"/>
      <c r="B25" s="4"/>
      <c r="C25" s="3"/>
      <c r="D25" s="3"/>
      <c r="E25" s="5"/>
      <c r="F25" s="5"/>
      <c r="G25" s="5"/>
      <c r="H25" s="5"/>
    </row>
    <row r="26" spans="1:8" ht="18">
      <c r="A26" s="3"/>
      <c r="B26" s="4"/>
      <c r="C26" s="3"/>
      <c r="D26" s="3"/>
      <c r="E26" s="5"/>
      <c r="F26" s="5"/>
      <c r="G26" s="5"/>
      <c r="H26" s="5"/>
    </row>
    <row r="27" spans="1:8" ht="18">
      <c r="A27" s="1"/>
      <c r="B27" s="2"/>
      <c r="C27" s="3"/>
      <c r="D27" s="3"/>
      <c r="E27" s="5"/>
      <c r="F27" s="5"/>
      <c r="G27" s="5"/>
      <c r="H27" s="5"/>
    </row>
    <row r="28" spans="1:8" ht="18">
      <c r="A28" s="3"/>
      <c r="B28" s="4"/>
      <c r="C28" s="3"/>
      <c r="D28" s="3"/>
      <c r="E28" s="5"/>
      <c r="F28" s="5"/>
      <c r="G28" s="5"/>
      <c r="H28" s="5"/>
    </row>
    <row r="29" spans="1:8" ht="18">
      <c r="A29" s="1"/>
      <c r="B29" s="2"/>
      <c r="C29" s="3"/>
      <c r="D29" s="3"/>
      <c r="E29" s="5"/>
      <c r="F29" s="5"/>
      <c r="G29" s="5"/>
      <c r="H29" s="5"/>
    </row>
    <row r="30" spans="1:8" ht="18">
      <c r="A30" s="6"/>
      <c r="B30" s="6"/>
      <c r="C30" s="6"/>
      <c r="D30" s="7"/>
      <c r="E30" s="7"/>
      <c r="F30" s="7"/>
      <c r="G30" s="7"/>
      <c r="H30" s="7"/>
    </row>
    <row r="31" spans="1:8" ht="18">
      <c r="A31" s="7"/>
      <c r="B31" s="8"/>
      <c r="C31" s="7"/>
      <c r="D31" s="7"/>
      <c r="E31" s="7"/>
      <c r="F31" s="7"/>
      <c r="G31" s="7"/>
      <c r="H31" s="7"/>
    </row>
    <row r="32" spans="1:8" ht="18">
      <c r="A32" s="7"/>
      <c r="B32" s="8"/>
      <c r="C32" s="7"/>
      <c r="D32" s="7"/>
      <c r="E32" s="7"/>
      <c r="F32" s="7"/>
      <c r="G32" s="7"/>
      <c r="H32" s="7"/>
    </row>
    <row r="33" spans="1:8" ht="18">
      <c r="A33" s="7"/>
      <c r="B33" s="8"/>
      <c r="C33" s="7"/>
      <c r="D33" s="7"/>
      <c r="E33" s="7"/>
      <c r="F33" s="7"/>
      <c r="G33" s="7"/>
      <c r="H33" s="7"/>
    </row>
    <row r="34" spans="1:8" ht="18">
      <c r="A34" s="7"/>
      <c r="B34" s="8"/>
      <c r="C34" s="7"/>
      <c r="D34" s="7"/>
      <c r="E34" s="7"/>
      <c r="F34" s="7"/>
      <c r="G34" s="7"/>
      <c r="H34" s="7"/>
    </row>
    <row r="35" spans="1:8" ht="18">
      <c r="A35" s="7"/>
      <c r="B35" s="8"/>
      <c r="C35" s="7"/>
      <c r="D35" s="7"/>
      <c r="E35" s="7"/>
      <c r="F35" s="7"/>
      <c r="G35" s="7"/>
      <c r="H35" s="7"/>
    </row>
    <row r="36" spans="1:8" ht="18">
      <c r="A36" s="6"/>
      <c r="B36" s="7"/>
      <c r="C36" s="7"/>
      <c r="D36" s="7"/>
      <c r="E36" s="7"/>
      <c r="F36" s="7"/>
      <c r="G36" s="7"/>
      <c r="H36" s="7"/>
    </row>
    <row r="37" spans="1:8" ht="18">
      <c r="A37" s="7"/>
      <c r="B37" s="8"/>
      <c r="C37" s="7"/>
      <c r="D37" s="7"/>
      <c r="E37" s="7"/>
      <c r="F37" s="7"/>
      <c r="G37" s="7"/>
      <c r="H37" s="7"/>
    </row>
    <row r="38" spans="1:8" ht="18">
      <c r="A38" s="7"/>
      <c r="B38" s="8"/>
      <c r="C38" s="7"/>
      <c r="D38" s="7"/>
      <c r="E38" s="7"/>
      <c r="F38" s="7"/>
      <c r="G38" s="7"/>
      <c r="H38" s="7"/>
    </row>
    <row r="39" spans="1:8" ht="18">
      <c r="A39" s="7"/>
      <c r="B39" s="8"/>
      <c r="C39" s="7"/>
      <c r="D39" s="7"/>
      <c r="E39" s="7"/>
      <c r="F39" s="7"/>
      <c r="G39" s="7"/>
      <c r="H39" s="7"/>
    </row>
    <row r="40" spans="1:8" ht="18">
      <c r="A40" s="7"/>
      <c r="B40" s="8"/>
      <c r="C40" s="7"/>
      <c r="D40" s="7"/>
      <c r="E40" s="7"/>
      <c r="F40" s="7"/>
      <c r="G40" s="7"/>
      <c r="H40" s="7"/>
    </row>
  </sheetData>
  <mergeCells count="8">
    <mergeCell ref="A1:H1"/>
    <mergeCell ref="A2:A3"/>
    <mergeCell ref="B2:B3"/>
    <mergeCell ref="C2:C3"/>
    <mergeCell ref="D2:D3"/>
    <mergeCell ref="E2:E3"/>
    <mergeCell ref="F2:F3"/>
    <mergeCell ref="G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B08B-CF52-443F-8A34-D1E765EDA586}">
  <dimension ref="A1:I18"/>
  <sheetViews>
    <sheetView workbookViewId="0">
      <selection activeCell="K10" sqref="K10"/>
    </sheetView>
  </sheetViews>
  <sheetFormatPr defaultRowHeight="14.4"/>
  <cols>
    <col min="2" max="2" width="33.21875" customWidth="1"/>
    <col min="3" max="3" width="13" customWidth="1"/>
  </cols>
  <sheetData>
    <row r="1" spans="1:9" ht="21" thickBot="1">
      <c r="A1" s="34"/>
    </row>
    <row r="2" spans="1:9" ht="18" thickBot="1">
      <c r="A2" s="154"/>
      <c r="B2" s="154"/>
      <c r="C2" s="154"/>
      <c r="D2" s="156"/>
      <c r="E2" s="157"/>
      <c r="F2" s="158"/>
      <c r="G2" s="156"/>
      <c r="H2" s="157"/>
      <c r="I2" s="158"/>
    </row>
    <row r="3" spans="1:9" ht="18" thickBot="1">
      <c r="A3" s="155"/>
      <c r="B3" s="155"/>
      <c r="C3" s="155"/>
      <c r="D3" s="36"/>
      <c r="E3" s="36"/>
      <c r="F3" s="36"/>
      <c r="G3" s="36"/>
      <c r="H3" s="37"/>
      <c r="I3" s="38"/>
    </row>
    <row r="4" spans="1:9" ht="18" thickBot="1">
      <c r="A4" s="35"/>
      <c r="B4" s="38"/>
      <c r="C4" s="38"/>
      <c r="D4" s="36"/>
      <c r="E4" s="36"/>
      <c r="F4" s="36"/>
      <c r="G4" s="36"/>
      <c r="H4" s="37"/>
      <c r="I4" s="38"/>
    </row>
    <row r="5" spans="1:9" ht="18" thickBot="1">
      <c r="A5" s="35"/>
      <c r="B5" s="38"/>
      <c r="C5" s="38"/>
      <c r="D5" s="36"/>
      <c r="E5" s="36"/>
      <c r="F5" s="36"/>
      <c r="G5" s="36"/>
      <c r="H5" s="37"/>
      <c r="I5" s="38"/>
    </row>
    <row r="6" spans="1:9" ht="18.600000000000001" thickBot="1">
      <c r="A6" s="39"/>
      <c r="B6" s="40"/>
      <c r="C6" s="41"/>
      <c r="D6" s="41"/>
      <c r="E6" s="42"/>
      <c r="F6" s="41"/>
      <c r="G6" s="41"/>
      <c r="H6" s="42"/>
      <c r="I6" s="41"/>
    </row>
    <row r="7" spans="1:9" ht="18.600000000000001" thickBot="1">
      <c r="A7" s="39"/>
      <c r="B7" s="40"/>
      <c r="C7" s="41"/>
      <c r="D7" s="41"/>
      <c r="E7" s="42"/>
      <c r="F7" s="41"/>
      <c r="G7" s="41"/>
      <c r="H7" s="42"/>
      <c r="I7" s="41"/>
    </row>
    <row r="8" spans="1:9" ht="18.600000000000001" thickBot="1">
      <c r="A8" s="39"/>
      <c r="B8" s="40"/>
      <c r="C8" s="41"/>
      <c r="D8" s="41"/>
      <c r="E8" s="42"/>
      <c r="F8" s="41"/>
      <c r="G8" s="41"/>
      <c r="H8" s="42"/>
      <c r="I8" s="41"/>
    </row>
    <row r="9" spans="1:9" ht="18.600000000000001" thickBot="1">
      <c r="A9" s="39"/>
      <c r="B9" s="40"/>
      <c r="C9" s="41"/>
      <c r="D9" s="41"/>
      <c r="E9" s="42"/>
      <c r="F9" s="41"/>
      <c r="G9" s="41"/>
      <c r="H9" s="42"/>
      <c r="I9" s="41"/>
    </row>
    <row r="10" spans="1:9" ht="18.600000000000001" thickBot="1">
      <c r="A10" s="39"/>
      <c r="B10" s="40"/>
      <c r="C10" s="41"/>
      <c r="D10" s="41"/>
      <c r="E10" s="42"/>
      <c r="F10" s="41"/>
      <c r="G10" s="41"/>
      <c r="H10" s="42"/>
      <c r="I10" s="41"/>
    </row>
    <row r="11" spans="1:9" ht="18.600000000000001" thickBot="1">
      <c r="A11" s="39"/>
      <c r="B11" s="38"/>
      <c r="C11" s="41"/>
      <c r="D11" s="41"/>
      <c r="E11" s="42"/>
      <c r="F11" s="41"/>
      <c r="G11" s="41"/>
      <c r="H11" s="42"/>
      <c r="I11" s="41"/>
    </row>
    <row r="12" spans="1:9" ht="18.600000000000001" thickBot="1">
      <c r="A12" s="39"/>
      <c r="B12" s="40"/>
      <c r="C12" s="41"/>
      <c r="D12" s="41"/>
      <c r="E12" s="42"/>
      <c r="F12" s="41"/>
      <c r="G12" s="41"/>
      <c r="H12" s="42"/>
      <c r="I12" s="41"/>
    </row>
    <row r="13" spans="1:9" ht="18.600000000000001" thickBot="1">
      <c r="A13" s="39"/>
      <c r="B13" s="40"/>
      <c r="C13" s="41"/>
      <c r="D13" s="41"/>
      <c r="E13" s="42"/>
      <c r="F13" s="41"/>
      <c r="G13" s="41"/>
      <c r="H13" s="42"/>
      <c r="I13" s="41"/>
    </row>
    <row r="14" spans="1:9" ht="18.600000000000001" thickBot="1">
      <c r="A14" s="39"/>
      <c r="B14" s="40"/>
      <c r="C14" s="41"/>
      <c r="D14" s="41"/>
      <c r="E14" s="42"/>
      <c r="F14" s="41"/>
      <c r="G14" s="41"/>
      <c r="H14" s="42"/>
      <c r="I14" s="41"/>
    </row>
    <row r="15" spans="1:9" ht="18.600000000000001" thickBot="1">
      <c r="A15" s="39"/>
      <c r="B15" s="40"/>
      <c r="C15" s="41"/>
      <c r="D15" s="41"/>
      <c r="E15" s="42"/>
      <c r="F15" s="41"/>
      <c r="G15" s="41"/>
      <c r="H15" s="42"/>
      <c r="I15" s="41"/>
    </row>
    <row r="16" spans="1:9" ht="18.600000000000001" thickBot="1">
      <c r="A16" s="39"/>
      <c r="B16" s="38"/>
      <c r="C16" s="41"/>
      <c r="D16" s="41"/>
      <c r="E16" s="42"/>
      <c r="F16" s="41"/>
      <c r="G16" s="41"/>
      <c r="H16" s="42"/>
      <c r="I16" s="41"/>
    </row>
    <row r="17" spans="1:9" ht="18.600000000000001" thickBot="1">
      <c r="A17" s="39"/>
      <c r="B17" s="40"/>
      <c r="C17" s="41"/>
      <c r="D17" s="41"/>
      <c r="E17" s="42"/>
      <c r="F17" s="41"/>
      <c r="G17" s="41"/>
      <c r="H17" s="42"/>
      <c r="I17" s="41"/>
    </row>
    <row r="18" spans="1:9" ht="18.600000000000001" thickBot="1">
      <c r="A18" s="39"/>
      <c r="B18" s="37"/>
      <c r="C18" s="41"/>
      <c r="D18" s="41"/>
      <c r="E18" s="42"/>
      <c r="F18" s="41"/>
      <c r="G18" s="41"/>
      <c r="H18" s="42"/>
      <c r="I18" s="41"/>
    </row>
  </sheetData>
  <mergeCells count="5">
    <mergeCell ref="A2:A3"/>
    <mergeCell ref="B2:B3"/>
    <mergeCell ref="C2:C3"/>
    <mergeCell ref="D2:F2"/>
    <mergeCell ref="G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ABC3-AE37-4707-AF46-9AA79383C458}">
  <dimension ref="A1:G29"/>
  <sheetViews>
    <sheetView tabSelected="1" workbookViewId="0">
      <selection activeCell="F12" sqref="F12"/>
    </sheetView>
  </sheetViews>
  <sheetFormatPr defaultRowHeight="14.4"/>
  <cols>
    <col min="2" max="2" width="33.77734375" customWidth="1"/>
    <col min="3" max="3" width="13.21875" customWidth="1"/>
    <col min="4" max="4" width="7.88671875" bestFit="1" customWidth="1"/>
    <col min="6" max="6" width="6.109375" bestFit="1" customWidth="1"/>
  </cols>
  <sheetData>
    <row r="1" spans="1:7" ht="17.399999999999999">
      <c r="A1" s="165"/>
      <c r="B1" s="165"/>
      <c r="C1" s="165"/>
      <c r="D1" s="165"/>
      <c r="E1" s="165"/>
      <c r="F1" s="165"/>
      <c r="G1" s="165"/>
    </row>
    <row r="2" spans="1:7" ht="17.399999999999999">
      <c r="A2" s="165"/>
      <c r="B2" s="165"/>
      <c r="C2" s="165"/>
      <c r="D2" s="43"/>
      <c r="E2" s="43"/>
      <c r="F2" s="43"/>
      <c r="G2" s="165"/>
    </row>
    <row r="3" spans="1:7" ht="18">
      <c r="A3" s="43"/>
      <c r="B3" s="44"/>
      <c r="C3" s="45"/>
      <c r="D3" s="5"/>
      <c r="E3" s="5"/>
      <c r="F3" s="5"/>
      <c r="G3" s="5"/>
    </row>
    <row r="4" spans="1:7" ht="18">
      <c r="A4" s="45"/>
      <c r="B4" s="46"/>
      <c r="C4" s="45"/>
      <c r="D4" s="5"/>
      <c r="E4" s="5"/>
      <c r="F4" s="5"/>
      <c r="G4" s="5"/>
    </row>
    <row r="5" spans="1:7" ht="18">
      <c r="A5" s="45"/>
      <c r="B5" s="46"/>
      <c r="C5" s="45"/>
      <c r="D5" s="5"/>
      <c r="E5" s="5"/>
      <c r="F5" s="5"/>
      <c r="G5" s="5"/>
    </row>
    <row r="6" spans="1:7" ht="18">
      <c r="A6" s="45"/>
      <c r="B6" s="46"/>
      <c r="C6" s="45"/>
      <c r="D6" s="5"/>
      <c r="E6" s="5"/>
      <c r="F6" s="5"/>
      <c r="G6" s="5"/>
    </row>
    <row r="7" spans="1:7" ht="18">
      <c r="A7" s="45"/>
      <c r="B7" s="46"/>
      <c r="C7" s="45"/>
      <c r="D7" s="5"/>
      <c r="E7" s="5"/>
      <c r="F7" s="5"/>
      <c r="G7" s="5"/>
    </row>
    <row r="8" spans="1:7" ht="18">
      <c r="A8" s="45"/>
      <c r="B8" s="46"/>
      <c r="C8" s="45"/>
      <c r="D8" s="5"/>
      <c r="E8" s="5"/>
      <c r="F8" s="5"/>
      <c r="G8" s="5"/>
    </row>
    <row r="9" spans="1:7" ht="18">
      <c r="A9" s="45"/>
      <c r="B9" s="46"/>
      <c r="C9" s="45"/>
      <c r="D9" s="5"/>
      <c r="E9" s="5"/>
      <c r="F9" s="5"/>
      <c r="G9" s="5"/>
    </row>
    <row r="10" spans="1:7" ht="18">
      <c r="A10" s="45"/>
      <c r="B10" s="46"/>
      <c r="C10" s="45"/>
      <c r="D10" s="5"/>
      <c r="E10" s="5"/>
      <c r="F10" s="5"/>
      <c r="G10" s="5"/>
    </row>
    <row r="11" spans="1:7" ht="18">
      <c r="A11" s="45"/>
      <c r="B11" s="46"/>
      <c r="C11" s="45"/>
      <c r="D11" s="5"/>
      <c r="E11" s="5"/>
      <c r="F11" s="5"/>
      <c r="G11" s="5"/>
    </row>
    <row r="12" spans="1:7" ht="18">
      <c r="A12" s="45"/>
      <c r="B12" s="46"/>
      <c r="C12" s="45"/>
      <c r="D12" s="5"/>
      <c r="E12" s="5"/>
      <c r="F12" s="5"/>
      <c r="G12" s="5"/>
    </row>
    <row r="13" spans="1:7" ht="18">
      <c r="A13" s="45"/>
      <c r="B13" s="46"/>
      <c r="C13" s="45"/>
      <c r="D13" s="47"/>
      <c r="E13" s="5"/>
      <c r="F13" s="47"/>
      <c r="G13" s="5"/>
    </row>
    <row r="14" spans="1:7" ht="18">
      <c r="A14" s="43"/>
      <c r="B14" s="44"/>
      <c r="C14" s="45"/>
      <c r="D14" s="5"/>
      <c r="E14" s="5"/>
      <c r="F14" s="5"/>
      <c r="G14" s="5"/>
    </row>
    <row r="15" spans="1:7" ht="18">
      <c r="A15" s="43"/>
      <c r="B15" s="44"/>
      <c r="C15" s="45"/>
      <c r="D15" s="5"/>
      <c r="E15" s="5"/>
      <c r="F15" s="5"/>
      <c r="G15" s="5"/>
    </row>
    <row r="16" spans="1:7" ht="18">
      <c r="A16" s="45"/>
      <c r="B16" s="46"/>
      <c r="C16" s="45"/>
      <c r="D16" s="5"/>
      <c r="E16" s="5"/>
      <c r="F16" s="5"/>
      <c r="G16" s="5"/>
    </row>
    <row r="17" spans="1:7" ht="18">
      <c r="A17" s="45"/>
      <c r="B17" s="46"/>
      <c r="C17" s="45"/>
      <c r="D17" s="5"/>
      <c r="E17" s="5"/>
      <c r="F17" s="5"/>
      <c r="G17" s="5"/>
    </row>
    <row r="18" spans="1:7" ht="18">
      <c r="A18" s="45"/>
      <c r="B18" s="46"/>
      <c r="C18" s="45"/>
      <c r="D18" s="5"/>
      <c r="E18" s="5"/>
      <c r="F18" s="5"/>
      <c r="G18" s="5"/>
    </row>
    <row r="19" spans="1:7" ht="18">
      <c r="A19" s="45"/>
      <c r="B19" s="46"/>
      <c r="C19" s="45"/>
      <c r="D19" s="5"/>
      <c r="E19" s="5"/>
      <c r="F19" s="5"/>
      <c r="G19" s="5"/>
    </row>
    <row r="20" spans="1:7" ht="18">
      <c r="A20" s="45"/>
      <c r="B20" s="46"/>
      <c r="C20" s="45"/>
      <c r="D20" s="5"/>
      <c r="E20" s="5"/>
      <c r="F20" s="5"/>
      <c r="G20" s="5"/>
    </row>
    <row r="21" spans="1:7" ht="18">
      <c r="A21" s="43"/>
      <c r="B21" s="44"/>
      <c r="C21" s="45"/>
      <c r="D21" s="5"/>
      <c r="E21" s="5"/>
      <c r="F21" s="5"/>
      <c r="G21" s="5"/>
    </row>
    <row r="22" spans="1:7" ht="18">
      <c r="A22" s="45"/>
      <c r="B22" s="46"/>
      <c r="C22" s="45"/>
      <c r="D22" s="5"/>
      <c r="E22" s="5"/>
      <c r="F22" s="5"/>
      <c r="G22" s="5"/>
    </row>
    <row r="23" spans="1:7" ht="18">
      <c r="A23" s="45"/>
      <c r="B23" s="46"/>
      <c r="C23" s="45"/>
      <c r="D23" s="5"/>
      <c r="E23" s="5"/>
      <c r="F23" s="5"/>
      <c r="G23" s="5"/>
    </row>
    <row r="24" spans="1:7" ht="18">
      <c r="A24" s="45"/>
      <c r="B24" s="46"/>
      <c r="C24" s="45"/>
      <c r="D24" s="5"/>
      <c r="E24" s="5"/>
      <c r="F24" s="5"/>
      <c r="G24" s="5"/>
    </row>
    <row r="25" spans="1:7" ht="18">
      <c r="A25" s="45"/>
      <c r="B25" s="46"/>
      <c r="C25" s="45"/>
      <c r="D25" s="5"/>
      <c r="E25" s="5"/>
      <c r="F25" s="5"/>
      <c r="G25" s="5"/>
    </row>
    <row r="26" spans="1:7" ht="18">
      <c r="A26" s="43"/>
      <c r="B26" s="44"/>
      <c r="C26" s="45"/>
      <c r="D26" s="5"/>
      <c r="E26" s="5"/>
      <c r="F26" s="5"/>
      <c r="G26" s="5"/>
    </row>
    <row r="27" spans="1:7" ht="18">
      <c r="A27" s="45"/>
      <c r="B27" s="46"/>
      <c r="C27" s="45"/>
      <c r="D27" s="5"/>
      <c r="E27" s="5"/>
      <c r="F27" s="5"/>
      <c r="G27" s="5"/>
    </row>
    <row r="28" spans="1:7" ht="18">
      <c r="A28" s="43"/>
      <c r="B28" s="44"/>
      <c r="C28" s="45"/>
      <c r="D28" s="5"/>
      <c r="E28" s="5"/>
      <c r="F28" s="5"/>
      <c r="G28" s="5"/>
    </row>
    <row r="29" spans="1:7" ht="18">
      <c r="A29" s="45"/>
      <c r="B29" s="46"/>
      <c r="C29" s="45"/>
      <c r="D29" s="5"/>
      <c r="E29" s="5"/>
      <c r="F29" s="5"/>
      <c r="G29" s="5"/>
    </row>
  </sheetData>
  <mergeCells count="5">
    <mergeCell ref="A1:A2"/>
    <mergeCell ref="B1:B2"/>
    <mergeCell ref="C1:C2"/>
    <mergeCell ref="D1:F1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011A-DD43-4CD1-8C82-1063D91EB813}">
  <dimension ref="A1:AX89"/>
  <sheetViews>
    <sheetView topLeftCell="C1" zoomScale="92" workbookViewId="0">
      <selection activeCell="O18" sqref="O18"/>
    </sheetView>
  </sheetViews>
  <sheetFormatPr defaultRowHeight="14.4"/>
  <cols>
    <col min="1" max="1" width="17" style="49" bestFit="1" customWidth="1"/>
    <col min="2" max="2" width="6" style="49" customWidth="1"/>
    <col min="3" max="3" width="6.5546875" style="49" customWidth="1"/>
    <col min="4" max="4" width="7.33203125" style="49" customWidth="1"/>
    <col min="5" max="5" width="7" style="49" customWidth="1"/>
    <col min="6" max="6" width="9.77734375" style="49" customWidth="1"/>
    <col min="7" max="8" width="7.5546875" style="49" bestFit="1" customWidth="1"/>
    <col min="9" max="9" width="7.5546875" style="49" customWidth="1"/>
    <col min="10" max="10" width="8.44140625" style="49" bestFit="1" customWidth="1"/>
    <col min="11" max="12" width="8.44140625" style="49" customWidth="1"/>
    <col min="13" max="13" width="7.6640625" style="49" customWidth="1"/>
    <col min="14" max="14" width="8.21875" style="49" bestFit="1" customWidth="1"/>
    <col min="15" max="17" width="8.21875" style="49" customWidth="1"/>
    <col min="18" max="18" width="8.5546875" style="49" customWidth="1"/>
    <col min="19" max="25" width="8.44140625" style="49" customWidth="1"/>
    <col min="26" max="28" width="9" style="49" customWidth="1"/>
    <col min="29" max="29" width="22.5546875" style="49" bestFit="1" customWidth="1"/>
    <col min="30" max="30" width="8.88671875" style="49"/>
    <col min="31" max="31" width="17.33203125" style="49" bestFit="1" customWidth="1"/>
    <col min="32" max="32" width="16.109375" style="49" bestFit="1" customWidth="1"/>
    <col min="33" max="33" width="7.6640625" style="49" bestFit="1" customWidth="1"/>
    <col min="34" max="34" width="6.44140625" style="49" customWidth="1"/>
    <col min="35" max="35" width="7.5546875" style="49" bestFit="1" customWidth="1"/>
    <col min="36" max="36" width="8.33203125" style="49" customWidth="1"/>
    <col min="37" max="37" width="6.6640625" style="49" customWidth="1"/>
    <col min="38" max="38" width="8" style="49" customWidth="1"/>
    <col min="39" max="42" width="3.77734375" style="49" bestFit="1" customWidth="1"/>
    <col min="43" max="49" width="8.88671875" style="49"/>
    <col min="51" max="16384" width="8.88671875" style="49"/>
  </cols>
  <sheetData>
    <row r="1" spans="1:38" ht="17.399999999999999">
      <c r="A1" s="172" t="s">
        <v>26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E1" s="50" t="s">
        <v>30</v>
      </c>
    </row>
    <row r="3" spans="1:38" ht="14.4" customHeight="1">
      <c r="A3" s="166" t="s">
        <v>10</v>
      </c>
      <c r="B3" s="166" t="s">
        <v>0</v>
      </c>
      <c r="C3" s="166" t="s">
        <v>11</v>
      </c>
      <c r="D3" s="166" t="s">
        <v>12</v>
      </c>
      <c r="E3" s="166" t="s">
        <v>13</v>
      </c>
      <c r="F3" s="169" t="s">
        <v>14</v>
      </c>
      <c r="G3" s="173"/>
      <c r="H3" s="173"/>
      <c r="I3" s="173"/>
      <c r="J3" s="173"/>
      <c r="K3" s="170"/>
      <c r="L3" s="174" t="s">
        <v>7</v>
      </c>
      <c r="M3" s="175"/>
      <c r="N3" s="175"/>
      <c r="O3" s="175"/>
      <c r="P3" s="176"/>
      <c r="Q3" s="174" t="s">
        <v>15</v>
      </c>
      <c r="R3" s="176"/>
      <c r="S3" s="169" t="s">
        <v>16</v>
      </c>
      <c r="T3" s="173"/>
      <c r="U3" s="173"/>
      <c r="V3" s="173"/>
      <c r="W3" s="173"/>
      <c r="X3" s="173"/>
      <c r="Y3" s="170"/>
      <c r="Z3" s="171" t="s">
        <v>17</v>
      </c>
      <c r="AA3" s="171"/>
      <c r="AB3" s="171"/>
      <c r="AC3" s="171"/>
    </row>
    <row r="4" spans="1:38" ht="14.4" customHeight="1">
      <c r="A4" s="167"/>
      <c r="B4" s="167"/>
      <c r="C4" s="167"/>
      <c r="D4" s="167"/>
      <c r="E4" s="167"/>
      <c r="F4" s="166" t="s">
        <v>1</v>
      </c>
      <c r="G4" s="171" t="s">
        <v>2</v>
      </c>
      <c r="H4" s="171"/>
      <c r="I4" s="174" t="s">
        <v>18</v>
      </c>
      <c r="J4" s="175"/>
      <c r="K4" s="176"/>
      <c r="L4" s="169" t="s">
        <v>8</v>
      </c>
      <c r="M4" s="170"/>
      <c r="N4" s="169" t="s">
        <v>19</v>
      </c>
      <c r="O4" s="170"/>
      <c r="P4" s="181" t="s">
        <v>9</v>
      </c>
      <c r="Q4" s="177"/>
      <c r="R4" s="178"/>
      <c r="S4" s="169" t="s">
        <v>3</v>
      </c>
      <c r="T4" s="173"/>
      <c r="U4" s="173"/>
      <c r="V4" s="170"/>
      <c r="W4" s="171" t="s">
        <v>4</v>
      </c>
      <c r="X4" s="171"/>
      <c r="Y4" s="181" t="s">
        <v>9</v>
      </c>
      <c r="Z4" s="171" t="s">
        <v>20</v>
      </c>
      <c r="AA4" s="171" t="s">
        <v>21</v>
      </c>
      <c r="AB4" s="171" t="s">
        <v>22</v>
      </c>
      <c r="AC4" s="171" t="s">
        <v>23</v>
      </c>
    </row>
    <row r="5" spans="1:38">
      <c r="A5" s="167"/>
      <c r="B5" s="167"/>
      <c r="C5" s="167"/>
      <c r="D5" s="167"/>
      <c r="E5" s="167"/>
      <c r="F5" s="167"/>
      <c r="G5" s="166" t="s">
        <v>3</v>
      </c>
      <c r="H5" s="166" t="s">
        <v>4</v>
      </c>
      <c r="I5" s="179"/>
      <c r="J5" s="184"/>
      <c r="K5" s="180"/>
      <c r="L5" s="166" t="s">
        <v>24</v>
      </c>
      <c r="M5" s="166" t="s">
        <v>25</v>
      </c>
      <c r="N5" s="166" t="s">
        <v>24</v>
      </c>
      <c r="O5" s="166" t="s">
        <v>25</v>
      </c>
      <c r="P5" s="182"/>
      <c r="Q5" s="179"/>
      <c r="R5" s="180"/>
      <c r="S5" s="169" t="s">
        <v>8</v>
      </c>
      <c r="T5" s="170"/>
      <c r="U5" s="169" t="s">
        <v>19</v>
      </c>
      <c r="V5" s="170"/>
      <c r="W5" s="166" t="s">
        <v>8</v>
      </c>
      <c r="X5" s="166" t="s">
        <v>19</v>
      </c>
      <c r="Y5" s="182"/>
      <c r="Z5" s="171"/>
      <c r="AA5" s="171"/>
      <c r="AB5" s="171"/>
      <c r="AC5" s="171"/>
      <c r="AL5" s="52"/>
    </row>
    <row r="6" spans="1:38">
      <c r="A6" s="168"/>
      <c r="B6" s="168"/>
      <c r="C6" s="168"/>
      <c r="D6" s="168"/>
      <c r="E6" s="168"/>
      <c r="F6" s="168"/>
      <c r="G6" s="168"/>
      <c r="H6" s="168"/>
      <c r="I6" s="51" t="s">
        <v>8</v>
      </c>
      <c r="J6" s="51" t="s">
        <v>19</v>
      </c>
      <c r="K6" s="53" t="s">
        <v>9</v>
      </c>
      <c r="L6" s="168"/>
      <c r="M6" s="168"/>
      <c r="N6" s="168"/>
      <c r="O6" s="168"/>
      <c r="P6" s="183"/>
      <c r="Q6" s="51" t="s">
        <v>8</v>
      </c>
      <c r="R6" s="51" t="s">
        <v>19</v>
      </c>
      <c r="S6" s="51" t="s">
        <v>24</v>
      </c>
      <c r="T6" s="51" t="s">
        <v>25</v>
      </c>
      <c r="U6" s="51" t="s">
        <v>24</v>
      </c>
      <c r="V6" s="51" t="s">
        <v>25</v>
      </c>
      <c r="W6" s="168"/>
      <c r="X6" s="168"/>
      <c r="Y6" s="183"/>
      <c r="Z6" s="51"/>
      <c r="AA6" s="51"/>
      <c r="AB6" s="51"/>
      <c r="AC6" s="51"/>
      <c r="AL6" s="52"/>
    </row>
    <row r="7" spans="1:38">
      <c r="A7" s="54" t="s">
        <v>27</v>
      </c>
      <c r="B7" s="54"/>
      <c r="C7" s="55"/>
      <c r="D7" s="55"/>
      <c r="E7" s="55"/>
      <c r="F7" s="56">
        <f t="shared" ref="F7:O7" si="0">F8+F14+F19+F21</f>
        <v>0</v>
      </c>
      <c r="G7" s="56">
        <f t="shared" si="0"/>
        <v>0</v>
      </c>
      <c r="H7" s="56">
        <f t="shared" si="0"/>
        <v>0</v>
      </c>
      <c r="I7" s="56">
        <f t="shared" si="0"/>
        <v>0</v>
      </c>
      <c r="J7" s="56">
        <f t="shared" si="0"/>
        <v>0</v>
      </c>
      <c r="K7" s="56">
        <f t="shared" si="0"/>
        <v>0</v>
      </c>
      <c r="L7" s="56">
        <f t="shared" si="0"/>
        <v>0</v>
      </c>
      <c r="M7" s="56">
        <f t="shared" si="0"/>
        <v>0</v>
      </c>
      <c r="N7" s="56">
        <f t="shared" si="0"/>
        <v>0</v>
      </c>
      <c r="O7" s="56">
        <f t="shared" si="0"/>
        <v>0</v>
      </c>
      <c r="P7" s="56">
        <f>L7+M7+N7+O7</f>
        <v>0</v>
      </c>
      <c r="Q7" s="56">
        <f>Q8+Q14+Q19+Q21</f>
        <v>0</v>
      </c>
      <c r="R7" s="56">
        <f t="shared" ref="R7:Y7" si="1">R8+R14+R19+R21</f>
        <v>0</v>
      </c>
      <c r="S7" s="56">
        <f t="shared" si="1"/>
        <v>0</v>
      </c>
      <c r="T7" s="56">
        <f>T8+T14+T19</f>
        <v>0</v>
      </c>
      <c r="U7" s="56">
        <f t="shared" si="1"/>
        <v>0</v>
      </c>
      <c r="V7" s="56">
        <f>V8+V14+V19</f>
        <v>0</v>
      </c>
      <c r="W7" s="56">
        <f>ABS(W8)+ABS(W14)+ABS(W19)+ABS(W21)</f>
        <v>0</v>
      </c>
      <c r="X7" s="56">
        <f t="shared" si="1"/>
        <v>0</v>
      </c>
      <c r="Y7" s="56">
        <f t="shared" si="1"/>
        <v>0</v>
      </c>
      <c r="Z7" s="57"/>
      <c r="AA7" s="57"/>
      <c r="AB7" s="57"/>
      <c r="AC7" s="57"/>
      <c r="AL7" s="52"/>
    </row>
    <row r="8" spans="1:38">
      <c r="A8" s="58" t="s">
        <v>28</v>
      </c>
      <c r="B8" s="58" t="s">
        <v>6</v>
      </c>
      <c r="C8" s="55"/>
      <c r="D8" s="55"/>
      <c r="E8" s="55"/>
      <c r="F8" s="56">
        <f>G8+H8+J8</f>
        <v>0</v>
      </c>
      <c r="G8" s="56">
        <f>SUMPRODUCT($C$9:$C$13,G9:G13)/1000</f>
        <v>0</v>
      </c>
      <c r="H8" s="56">
        <f>SUMPRODUCT($C$9:$C$13,H9:H13)/1000</f>
        <v>0</v>
      </c>
      <c r="I8" s="56">
        <f>SUMPRODUCT($C$9:$C$13,I9:I13)/1000</f>
        <v>0</v>
      </c>
      <c r="J8" s="56">
        <f>SUMPRODUCT($C$9:$C$13,J9:J13)/1000</f>
        <v>0</v>
      </c>
      <c r="K8" s="56">
        <f>I8+J8</f>
        <v>0</v>
      </c>
      <c r="L8" s="56">
        <f>SUMPRODUCT($D$9:$D$13,L9:L13)/1000</f>
        <v>0</v>
      </c>
      <c r="M8" s="56">
        <f>SUMPRODUCT($E$9:$E$13,M9:M13)/1000</f>
        <v>0</v>
      </c>
      <c r="N8" s="56">
        <f>SUMPRODUCT($D$9:$D$13,N9:N13)/1000</f>
        <v>0</v>
      </c>
      <c r="O8" s="56">
        <f>SUMPRODUCT($E$9:$E$13,O9:O13)/1000</f>
        <v>0</v>
      </c>
      <c r="P8" s="56">
        <f>L8+M8+N8+O8</f>
        <v>0</v>
      </c>
      <c r="Q8" s="56">
        <f>SUMPRODUCT($C$9:$C$13,Q9:Q13)/1000</f>
        <v>0</v>
      </c>
      <c r="R8" s="56">
        <f>SUMPRODUCT($C$9:$C$13,R9:R13)/1000</f>
        <v>0</v>
      </c>
      <c r="S8" s="56">
        <f>SUMPRODUCT($D$9:$D$13,S9:S13)/1000</f>
        <v>0</v>
      </c>
      <c r="T8" s="56">
        <f>SUMPRODUCT($E$9:$E$13,T9:T13)/1000</f>
        <v>0</v>
      </c>
      <c r="U8" s="56">
        <f>SUMPRODUCT($D$9:$D$13,U9:U13)/1000</f>
        <v>0</v>
      </c>
      <c r="V8" s="56">
        <f>SUMPRODUCT($E$9:$E$13,V9:V13)/1000</f>
        <v>0</v>
      </c>
      <c r="W8" s="56">
        <f>SUMPRODUCT($C$9:$C$13,W9:W13)/1000</f>
        <v>0</v>
      </c>
      <c r="X8" s="56">
        <f>SUMPRODUCT($C$9:$C$13,X9:X13)/1000</f>
        <v>0</v>
      </c>
      <c r="Y8" s="56">
        <f>F8-P8</f>
        <v>0</v>
      </c>
      <c r="Z8" s="59"/>
      <c r="AA8" s="57"/>
      <c r="AB8" s="57"/>
      <c r="AC8" s="57"/>
    </row>
    <row r="9" spans="1:38">
      <c r="A9" s="60" t="s">
        <v>5</v>
      </c>
      <c r="B9" s="60" t="s">
        <v>29</v>
      </c>
      <c r="C9" s="61">
        <f>D9+E9</f>
        <v>0</v>
      </c>
      <c r="D9" s="61">
        <f>1.2*QSTBKT!B6</f>
        <v>0</v>
      </c>
      <c r="E9" s="61">
        <f>1.2*QSTBKT!B8</f>
        <v>0</v>
      </c>
      <c r="F9" s="62">
        <f>ChiLenhHCKT!D17</f>
        <v>0</v>
      </c>
      <c r="G9" s="62">
        <f>ChiLenhHCKT!G17</f>
        <v>0</v>
      </c>
      <c r="H9" s="62">
        <f>ChiLenhHCKT!H17</f>
        <v>0</v>
      </c>
      <c r="I9" s="62">
        <f>PhanCapVCHC!G6</f>
        <v>0</v>
      </c>
      <c r="J9" s="62">
        <f>PhanCapVCHC!H6</f>
        <v>0</v>
      </c>
      <c r="K9" s="62">
        <f>ChiLenhHCKT!F17</f>
        <v>0</v>
      </c>
      <c r="L9" s="62">
        <f>TinhHinhVC!D16</f>
        <v>0</v>
      </c>
      <c r="M9" s="62">
        <v>0</v>
      </c>
      <c r="N9" s="62">
        <f>TinhHinhVC!E16</f>
        <v>0</v>
      </c>
      <c r="O9" s="63">
        <v>3</v>
      </c>
      <c r="P9" s="62"/>
      <c r="Q9" s="62">
        <f>PhanCapVCHC!D6</f>
        <v>0</v>
      </c>
      <c r="R9" s="62">
        <f>PhanCapVCHC!E6</f>
        <v>0</v>
      </c>
      <c r="S9" s="62">
        <f t="shared" ref="S9:S21" si="2">Q9-L9</f>
        <v>0</v>
      </c>
      <c r="T9" s="62">
        <f t="shared" ref="T9:T20" si="3">Q9-M9</f>
        <v>0</v>
      </c>
      <c r="U9" s="62">
        <f t="shared" ref="U9:U21" si="4">G9+R9-N9</f>
        <v>0</v>
      </c>
      <c r="V9" s="62">
        <f t="shared" ref="V9:V20" si="5">G9+R9-O9</f>
        <v>-3</v>
      </c>
      <c r="W9" s="62">
        <f t="shared" ref="W9:W21" si="6">I9-Q9</f>
        <v>0</v>
      </c>
      <c r="X9" s="62">
        <f t="shared" ref="X9:X21" si="7">H9+J9-R9</f>
        <v>0</v>
      </c>
      <c r="Y9" s="62"/>
      <c r="Z9" s="48"/>
      <c r="AA9" s="48"/>
      <c r="AB9" s="48"/>
      <c r="AC9" s="48"/>
    </row>
    <row r="10" spans="1:38">
      <c r="A10" s="64" t="s">
        <v>31</v>
      </c>
      <c r="B10" s="60" t="s">
        <v>29</v>
      </c>
      <c r="C10" s="61">
        <f t="shared" ref="C10:C20" si="8">D10+E10</f>
        <v>0</v>
      </c>
      <c r="D10" s="65">
        <f>0.75*QSTBKT!B6</f>
        <v>0</v>
      </c>
      <c r="E10" s="65">
        <f>0.75*QSTBKT!B8</f>
        <v>0</v>
      </c>
      <c r="F10" s="62">
        <f>ChiLenhHCKT!D18</f>
        <v>0</v>
      </c>
      <c r="G10" s="62">
        <f>ChiLenhHCKT!G18</f>
        <v>0</v>
      </c>
      <c r="H10" s="62">
        <f>ChiLenhHCKT!H18</f>
        <v>0</v>
      </c>
      <c r="I10" s="62">
        <f>PhanCapVCHC!G7</f>
        <v>0</v>
      </c>
      <c r="J10" s="62">
        <f>PhanCapVCHC!H7</f>
        <v>0</v>
      </c>
      <c r="K10" s="62">
        <f>ChiLenhHCKT!F18</f>
        <v>0</v>
      </c>
      <c r="L10" s="62">
        <f>TinhHinhVC!D17</f>
        <v>0</v>
      </c>
      <c r="M10" s="62">
        <v>0</v>
      </c>
      <c r="N10" s="62">
        <f>TinhHinhVC!E17</f>
        <v>0</v>
      </c>
      <c r="O10" s="63">
        <v>1</v>
      </c>
      <c r="P10" s="62"/>
      <c r="Q10" s="62">
        <f>PhanCapVCHC!D7</f>
        <v>0</v>
      </c>
      <c r="R10" s="62">
        <f>PhanCapVCHC!E7</f>
        <v>0</v>
      </c>
      <c r="S10" s="62">
        <f t="shared" si="2"/>
        <v>0</v>
      </c>
      <c r="T10" s="62">
        <f t="shared" si="3"/>
        <v>0</v>
      </c>
      <c r="U10" s="62">
        <f t="shared" si="4"/>
        <v>0</v>
      </c>
      <c r="V10" s="62">
        <f t="shared" si="5"/>
        <v>-1</v>
      </c>
      <c r="W10" s="62">
        <f t="shared" si="6"/>
        <v>0</v>
      </c>
      <c r="X10" s="62">
        <f t="shared" si="7"/>
        <v>0</v>
      </c>
      <c r="Y10" s="62"/>
      <c r="Z10" s="48"/>
      <c r="AA10" s="48"/>
      <c r="AB10" s="48"/>
      <c r="AC10" s="48"/>
    </row>
    <row r="11" spans="1:38">
      <c r="A11" s="64" t="s">
        <v>32</v>
      </c>
      <c r="B11" s="61" t="s">
        <v>33</v>
      </c>
      <c r="C11" s="61">
        <f t="shared" si="8"/>
        <v>0</v>
      </c>
      <c r="D11" s="65">
        <f>0.01*QSTBKT!B6*1.8/7</f>
        <v>0</v>
      </c>
      <c r="E11" s="65">
        <f>0.01*QSTBKT!B8*1.8/7</f>
        <v>0</v>
      </c>
      <c r="F11" s="62">
        <f>ChiLenhHCKT!D19</f>
        <v>0</v>
      </c>
      <c r="G11" s="62">
        <f>ChiLenhHCKT!G19</f>
        <v>0</v>
      </c>
      <c r="H11" s="62">
        <f>ChiLenhHCKT!H19</f>
        <v>0</v>
      </c>
      <c r="I11" s="62">
        <f>PhanCapVCHC!G8</f>
        <v>0</v>
      </c>
      <c r="J11" s="62">
        <f>PhanCapVCHC!H8</f>
        <v>0</v>
      </c>
      <c r="K11" s="62">
        <f>ChiLenhHCKT!F19</f>
        <v>0</v>
      </c>
      <c r="L11" s="62">
        <f>TinhHinhVC!D18</f>
        <v>0</v>
      </c>
      <c r="M11" s="62">
        <v>0</v>
      </c>
      <c r="N11" s="62">
        <f>TinhHinhVC!E18</f>
        <v>0</v>
      </c>
      <c r="O11" s="63">
        <v>0</v>
      </c>
      <c r="P11" s="62"/>
      <c r="Q11" s="62">
        <f>PhanCapVCHC!D8</f>
        <v>0</v>
      </c>
      <c r="R11" s="62">
        <f>PhanCapVCHC!E8</f>
        <v>0</v>
      </c>
      <c r="S11" s="62">
        <f t="shared" si="2"/>
        <v>0</v>
      </c>
      <c r="T11" s="66" t="s">
        <v>34</v>
      </c>
      <c r="U11" s="62">
        <f t="shared" si="4"/>
        <v>0</v>
      </c>
      <c r="V11" s="66" t="s">
        <v>34</v>
      </c>
      <c r="W11" s="62">
        <f t="shared" si="6"/>
        <v>0</v>
      </c>
      <c r="X11" s="62">
        <f t="shared" si="7"/>
        <v>0</v>
      </c>
      <c r="Y11" s="62"/>
      <c r="Z11" s="48"/>
      <c r="AA11" s="48"/>
      <c r="AB11" s="48"/>
      <c r="AC11" s="48"/>
    </row>
    <row r="12" spans="1:38">
      <c r="A12" s="64" t="s">
        <v>35</v>
      </c>
      <c r="B12" s="61" t="s">
        <v>33</v>
      </c>
      <c r="C12" s="61">
        <f t="shared" si="8"/>
        <v>0</v>
      </c>
      <c r="D12" s="65">
        <f>0.01*QSTBKT!B6*2</f>
        <v>0</v>
      </c>
      <c r="E12" s="65">
        <f>0.01*QSTBKT!B8*2</f>
        <v>0</v>
      </c>
      <c r="F12" s="62">
        <f>ChiLenhHCKT!D20</f>
        <v>0</v>
      </c>
      <c r="G12" s="62">
        <f>ChiLenhHCKT!G20</f>
        <v>0</v>
      </c>
      <c r="H12" s="62">
        <f>ChiLenhHCKT!H20</f>
        <v>0</v>
      </c>
      <c r="I12" s="62">
        <f>PhanCapVCHC!G9</f>
        <v>0</v>
      </c>
      <c r="J12" s="62">
        <f>PhanCapVCHC!H9</f>
        <v>0</v>
      </c>
      <c r="K12" s="62">
        <f>ChiLenhHCKT!F20</f>
        <v>0</v>
      </c>
      <c r="L12" s="62">
        <f>TinhHinhVC!D19</f>
        <v>0</v>
      </c>
      <c r="M12" s="62">
        <v>0</v>
      </c>
      <c r="N12" s="62">
        <f>TinhHinhVC!E19</f>
        <v>0</v>
      </c>
      <c r="O12" s="63">
        <v>100</v>
      </c>
      <c r="P12" s="62"/>
      <c r="Q12" s="62">
        <f>PhanCapVCHC!D9</f>
        <v>0</v>
      </c>
      <c r="R12" s="62">
        <f>PhanCapVCHC!E9</f>
        <v>0</v>
      </c>
      <c r="S12" s="62">
        <f t="shared" si="2"/>
        <v>0</v>
      </c>
      <c r="T12" s="62">
        <f t="shared" si="3"/>
        <v>0</v>
      </c>
      <c r="U12" s="62">
        <f t="shared" si="4"/>
        <v>0</v>
      </c>
      <c r="V12" s="62">
        <f t="shared" si="5"/>
        <v>-100</v>
      </c>
      <c r="W12" s="62">
        <f t="shared" si="6"/>
        <v>0</v>
      </c>
      <c r="X12" s="62">
        <f t="shared" si="7"/>
        <v>0</v>
      </c>
      <c r="Y12" s="62"/>
      <c r="Z12" s="48"/>
      <c r="AA12" s="48"/>
      <c r="AB12" s="48"/>
      <c r="AC12" s="48"/>
    </row>
    <row r="13" spans="1:38">
      <c r="A13" s="67" t="s">
        <v>36</v>
      </c>
      <c r="B13" s="61" t="s">
        <v>33</v>
      </c>
      <c r="C13" s="61">
        <f t="shared" si="8"/>
        <v>0</v>
      </c>
      <c r="D13" s="65">
        <f>0.01*QSTBKT!B6*3</f>
        <v>0</v>
      </c>
      <c r="E13" s="65">
        <f>0.01*QSTBKT!B8*3</f>
        <v>0</v>
      </c>
      <c r="F13" s="62">
        <f>ChiLenhHCKT!D21</f>
        <v>0</v>
      </c>
      <c r="G13" s="62">
        <f>ChiLenhHCKT!G21</f>
        <v>0</v>
      </c>
      <c r="H13" s="62">
        <f>ChiLenhHCKT!H21</f>
        <v>0</v>
      </c>
      <c r="I13" s="62">
        <f>PhanCapVCHC!G10</f>
        <v>0</v>
      </c>
      <c r="J13" s="62">
        <f>PhanCapVCHC!H10</f>
        <v>0</v>
      </c>
      <c r="K13" s="62">
        <f>ChiLenhHCKT!F21</f>
        <v>0</v>
      </c>
      <c r="L13" s="62">
        <f>TinhHinhVC!D20</f>
        <v>0</v>
      </c>
      <c r="M13" s="62">
        <v>0</v>
      </c>
      <c r="N13" s="62">
        <f>TinhHinhVC!E20</f>
        <v>0</v>
      </c>
      <c r="O13" s="63">
        <v>100</v>
      </c>
      <c r="P13" s="62"/>
      <c r="Q13" s="62">
        <f>PhanCapVCHC!D10</f>
        <v>0</v>
      </c>
      <c r="R13" s="62">
        <f>PhanCapVCHC!E10</f>
        <v>0</v>
      </c>
      <c r="S13" s="62">
        <f t="shared" si="2"/>
        <v>0</v>
      </c>
      <c r="T13" s="62">
        <f t="shared" si="3"/>
        <v>0</v>
      </c>
      <c r="U13" s="62">
        <f t="shared" si="4"/>
        <v>0</v>
      </c>
      <c r="V13" s="62">
        <f t="shared" si="5"/>
        <v>-100</v>
      </c>
      <c r="W13" s="62">
        <f t="shared" si="6"/>
        <v>0</v>
      </c>
      <c r="X13" s="62">
        <f t="shared" si="7"/>
        <v>0</v>
      </c>
      <c r="Y13" s="62"/>
      <c r="Z13" s="48"/>
      <c r="AA13" s="48"/>
      <c r="AB13" s="48"/>
      <c r="AC13" s="48"/>
    </row>
    <row r="14" spans="1:38">
      <c r="A14" s="68" t="s">
        <v>37</v>
      </c>
      <c r="B14" s="68" t="s">
        <v>6</v>
      </c>
      <c r="C14" s="55"/>
      <c r="D14" s="56"/>
      <c r="E14" s="56"/>
      <c r="F14" s="56">
        <f>G14+H14+J14</f>
        <v>0</v>
      </c>
      <c r="G14" s="56">
        <f>SUMPRODUCT($C$15:$C$18,G15:G18)/1000</f>
        <v>0</v>
      </c>
      <c r="H14" s="56">
        <f>SUMPRODUCT($C$15:$C$18,H15:H18)/1000</f>
        <v>0</v>
      </c>
      <c r="I14" s="56">
        <f>SUMPRODUCT($C$15:$C$18,I15:I18)/1000</f>
        <v>0</v>
      </c>
      <c r="J14" s="56">
        <f>SUMPRODUCT($C$15:$C$18,J15:J18)/1000</f>
        <v>0</v>
      </c>
      <c r="K14" s="56">
        <f>SUMPRODUCT($C$15:$C$18,K15:K18)/1000</f>
        <v>0</v>
      </c>
      <c r="L14" s="56">
        <f>(SUMPRODUCT($C$15:$C$17,L15:L17)+L18*$D$18)/1000</f>
        <v>0</v>
      </c>
      <c r="M14" s="56">
        <f>(SUMPRODUCT($C$15:$C$17,M15:M17)+M18*$E$18)/1000</f>
        <v>0</v>
      </c>
      <c r="N14" s="56">
        <f>(SUMPRODUCT($C$15:$C$17,N15:N17)+N18*$D$18)/1000</f>
        <v>0</v>
      </c>
      <c r="O14" s="56">
        <f>(SUMPRODUCT($C$15:$C$17,O15:O17)+O18*$E$18)/1000</f>
        <v>0</v>
      </c>
      <c r="P14" s="56">
        <f>L14+M14+N14+O14</f>
        <v>0</v>
      </c>
      <c r="Q14" s="56">
        <f>SUMPRODUCT($C$15:$C$18,Q15:Q18)/1000</f>
        <v>0</v>
      </c>
      <c r="R14" s="56">
        <f>SUMPRODUCT($C$15:$C$18,R15:R18)/1000</f>
        <v>0</v>
      </c>
      <c r="S14" s="56">
        <f>(SUMPRODUCT($C$15:$C$17,S15:S17)+S18*$D$18)/1000</f>
        <v>0</v>
      </c>
      <c r="T14" s="56">
        <f>(SUMPRODUCT($C$15:$C$17,T15:T17)+T18*$E$18)/1000</f>
        <v>0</v>
      </c>
      <c r="U14" s="56">
        <f>(SUMPRODUCT($C$15:$C$17,U15:U17)+U18*$D$18)/1000</f>
        <v>0</v>
      </c>
      <c r="V14" s="56">
        <f>(SUMPRODUCT($C$15:$C$17,V15:V17)+V18*$E$18)/1000</f>
        <v>0</v>
      </c>
      <c r="W14" s="56">
        <f>SUMPRODUCT($C$15:$C$18,W15:W18)/1000</f>
        <v>0</v>
      </c>
      <c r="X14" s="56">
        <f>SUMPRODUCT($C$15:$C$18,X15:X18)/1000</f>
        <v>0</v>
      </c>
      <c r="Y14" s="56">
        <f>F14-P14</f>
        <v>0</v>
      </c>
      <c r="Z14" s="69"/>
      <c r="AA14" s="69"/>
      <c r="AB14" s="69"/>
      <c r="AC14" s="69"/>
    </row>
    <row r="15" spans="1:38">
      <c r="A15" s="64" t="s">
        <v>38</v>
      </c>
      <c r="B15" s="64" t="s">
        <v>39</v>
      </c>
      <c r="C15" s="61">
        <v>6</v>
      </c>
      <c r="D15" s="62">
        <v>6</v>
      </c>
      <c r="E15" s="62">
        <v>6</v>
      </c>
      <c r="F15" s="62">
        <f>ChiLenhHCKT!D23</f>
        <v>0</v>
      </c>
      <c r="G15" s="62">
        <f>ChiLenhHCKT!G23</f>
        <v>0</v>
      </c>
      <c r="H15" s="62">
        <f>ChiLenhHCKT!H23</f>
        <v>0</v>
      </c>
      <c r="I15" s="62">
        <f>PhanCapVCHC!G12</f>
        <v>0</v>
      </c>
      <c r="J15" s="62">
        <f>PhanCapVCHC!H12</f>
        <v>0</v>
      </c>
      <c r="K15" s="62">
        <f>ChiLenhHCKT!F23</f>
        <v>0</v>
      </c>
      <c r="L15" s="62">
        <f>TinhHinhVC!D22</f>
        <v>0</v>
      </c>
      <c r="M15" s="62">
        <v>0</v>
      </c>
      <c r="N15" s="62">
        <f>TinhHinhVC!E22</f>
        <v>0</v>
      </c>
      <c r="O15" s="63">
        <v>0</v>
      </c>
      <c r="P15" s="62"/>
      <c r="Q15" s="62">
        <f>PhanCapVCHC!D12</f>
        <v>0</v>
      </c>
      <c r="R15" s="62">
        <f>PhanCapVCHC!E12</f>
        <v>0</v>
      </c>
      <c r="S15" s="62">
        <f t="shared" si="2"/>
        <v>0</v>
      </c>
      <c r="T15" s="66" t="s">
        <v>34</v>
      </c>
      <c r="U15" s="62">
        <f t="shared" si="4"/>
        <v>0</v>
      </c>
      <c r="V15" s="66" t="s">
        <v>34</v>
      </c>
      <c r="W15" s="62">
        <f t="shared" si="6"/>
        <v>0</v>
      </c>
      <c r="X15" s="62">
        <f t="shared" si="7"/>
        <v>0</v>
      </c>
      <c r="Y15" s="62"/>
      <c r="Z15" s="48"/>
      <c r="AA15" s="48"/>
      <c r="AB15" s="48"/>
      <c r="AC15" s="48"/>
    </row>
    <row r="16" spans="1:38">
      <c r="A16" s="64" t="s">
        <v>40</v>
      </c>
      <c r="B16" s="64" t="s">
        <v>39</v>
      </c>
      <c r="C16" s="61">
        <v>4</v>
      </c>
      <c r="D16" s="62">
        <v>4</v>
      </c>
      <c r="E16" s="62">
        <v>4</v>
      </c>
      <c r="F16" s="62">
        <f>ChiLenhHCKT!D24</f>
        <v>0</v>
      </c>
      <c r="G16" s="62">
        <f>ChiLenhHCKT!G24</f>
        <v>0</v>
      </c>
      <c r="H16" s="62">
        <f>ChiLenhHCKT!H24</f>
        <v>0</v>
      </c>
      <c r="I16" s="62">
        <f>PhanCapVCHC!G13</f>
        <v>0</v>
      </c>
      <c r="J16" s="62">
        <f>PhanCapVCHC!H13</f>
        <v>0</v>
      </c>
      <c r="K16" s="62">
        <f>ChiLenhHCKT!F24</f>
        <v>0</v>
      </c>
      <c r="L16" s="62">
        <f>TinhHinhVC!D23</f>
        <v>0</v>
      </c>
      <c r="M16" s="62">
        <v>0</v>
      </c>
      <c r="N16" s="62">
        <f>TinhHinhVC!E23</f>
        <v>0</v>
      </c>
      <c r="O16" s="63">
        <v>0</v>
      </c>
      <c r="P16" s="62"/>
      <c r="Q16" s="62">
        <f>PhanCapVCHC!D13</f>
        <v>0</v>
      </c>
      <c r="R16" s="62">
        <f>PhanCapVCHC!E13</f>
        <v>0</v>
      </c>
      <c r="S16" s="62">
        <f t="shared" si="2"/>
        <v>0</v>
      </c>
      <c r="T16" s="66" t="s">
        <v>34</v>
      </c>
      <c r="U16" s="62">
        <f t="shared" si="4"/>
        <v>0</v>
      </c>
      <c r="V16" s="66" t="s">
        <v>34</v>
      </c>
      <c r="W16" s="62">
        <f t="shared" si="6"/>
        <v>0</v>
      </c>
      <c r="X16" s="62">
        <f t="shared" si="7"/>
        <v>0</v>
      </c>
      <c r="Y16" s="62"/>
      <c r="Z16" s="48"/>
      <c r="AA16" s="48"/>
      <c r="AB16" s="48"/>
      <c r="AC16" s="48"/>
    </row>
    <row r="17" spans="1:42">
      <c r="A17" s="64" t="s">
        <v>41</v>
      </c>
      <c r="B17" s="64" t="s">
        <v>39</v>
      </c>
      <c r="C17" s="61">
        <v>2</v>
      </c>
      <c r="D17" s="62">
        <v>2</v>
      </c>
      <c r="E17" s="62">
        <v>2</v>
      </c>
      <c r="F17" s="62">
        <f>ChiLenhHCKT!D25</f>
        <v>0</v>
      </c>
      <c r="G17" s="62">
        <f>ChiLenhHCKT!G25</f>
        <v>0</v>
      </c>
      <c r="H17" s="62">
        <f>ChiLenhHCKT!H25</f>
        <v>0</v>
      </c>
      <c r="I17" s="62">
        <f>PhanCapVCHC!G14</f>
        <v>0</v>
      </c>
      <c r="J17" s="62">
        <f>PhanCapVCHC!H14</f>
        <v>0</v>
      </c>
      <c r="K17" s="62">
        <f>ChiLenhHCKT!F25</f>
        <v>0</v>
      </c>
      <c r="L17" s="62">
        <f>TinhHinhVC!D24</f>
        <v>0</v>
      </c>
      <c r="M17" s="62">
        <v>0</v>
      </c>
      <c r="N17" s="62">
        <f>TinhHinhVC!E24</f>
        <v>0</v>
      </c>
      <c r="O17" s="63">
        <v>0</v>
      </c>
      <c r="P17" s="62"/>
      <c r="Q17" s="62">
        <f>PhanCapVCHC!D14</f>
        <v>0</v>
      </c>
      <c r="R17" s="62">
        <f>PhanCapVCHC!E14</f>
        <v>0</v>
      </c>
      <c r="S17" s="62">
        <f t="shared" si="2"/>
        <v>0</v>
      </c>
      <c r="T17" s="66" t="s">
        <v>34</v>
      </c>
      <c r="U17" s="62">
        <f t="shared" si="4"/>
        <v>0</v>
      </c>
      <c r="V17" s="66" t="s">
        <v>34</v>
      </c>
      <c r="W17" s="62">
        <f t="shared" si="6"/>
        <v>0</v>
      </c>
      <c r="X17" s="62">
        <f t="shared" si="7"/>
        <v>0</v>
      </c>
      <c r="Y17" s="62"/>
      <c r="Z17" s="48"/>
      <c r="AA17" s="48"/>
      <c r="AB17" s="48"/>
      <c r="AC17" s="48"/>
    </row>
    <row r="18" spans="1:42">
      <c r="A18" s="64" t="s">
        <v>42</v>
      </c>
      <c r="B18" s="64" t="s">
        <v>43</v>
      </c>
      <c r="C18" s="61">
        <f t="shared" si="8"/>
        <v>0</v>
      </c>
      <c r="D18" s="65">
        <f>0.07*QSTBKT!B6</f>
        <v>0</v>
      </c>
      <c r="E18" s="65">
        <f>0.07*QSTBKT!B8</f>
        <v>0</v>
      </c>
      <c r="F18" s="62">
        <f>ChiLenhHCKT!D26</f>
        <v>0</v>
      </c>
      <c r="G18" s="62">
        <f>ChiLenhHCKT!G26</f>
        <v>0</v>
      </c>
      <c r="H18" s="62">
        <f>ChiLenhHCKT!H26</f>
        <v>0</v>
      </c>
      <c r="I18" s="62">
        <f>PhanCapVCHC!G15</f>
        <v>0</v>
      </c>
      <c r="J18" s="62">
        <f>PhanCapVCHC!H15</f>
        <v>0</v>
      </c>
      <c r="K18" s="62">
        <f>ChiLenhHCKT!F26</f>
        <v>0</v>
      </c>
      <c r="L18" s="62">
        <f>TinhHinhVC!D25</f>
        <v>0</v>
      </c>
      <c r="M18" s="62">
        <v>0</v>
      </c>
      <c r="N18" s="62">
        <f>TinhHinhVC!E25</f>
        <v>0</v>
      </c>
      <c r="O18" s="63">
        <v>1</v>
      </c>
      <c r="P18" s="62"/>
      <c r="Q18" s="62">
        <f>PhanCapVCHC!D15</f>
        <v>0</v>
      </c>
      <c r="R18" s="62">
        <f>PhanCapVCHC!E15</f>
        <v>0</v>
      </c>
      <c r="S18" s="62">
        <f t="shared" si="2"/>
        <v>0</v>
      </c>
      <c r="T18" s="62">
        <f t="shared" si="3"/>
        <v>0</v>
      </c>
      <c r="U18" s="62">
        <f t="shared" si="4"/>
        <v>0</v>
      </c>
      <c r="V18" s="62">
        <f t="shared" si="5"/>
        <v>-1</v>
      </c>
      <c r="W18" s="62">
        <f t="shared" si="6"/>
        <v>0</v>
      </c>
      <c r="X18" s="62">
        <f t="shared" si="7"/>
        <v>0</v>
      </c>
      <c r="Y18" s="62"/>
      <c r="Z18" s="48"/>
      <c r="AA18" s="48"/>
      <c r="AB18" s="48"/>
      <c r="AC18" s="48"/>
    </row>
    <row r="19" spans="1:42">
      <c r="A19" s="68" t="s">
        <v>44</v>
      </c>
      <c r="B19" s="68" t="s">
        <v>6</v>
      </c>
      <c r="C19" s="55"/>
      <c r="D19" s="56"/>
      <c r="E19" s="56"/>
      <c r="F19" s="56">
        <f t="shared" ref="F19:K19" si="9">$C$20*F20/1000</f>
        <v>0</v>
      </c>
      <c r="G19" s="56">
        <f t="shared" si="9"/>
        <v>0</v>
      </c>
      <c r="H19" s="56">
        <f t="shared" si="9"/>
        <v>0</v>
      </c>
      <c r="I19" s="56">
        <f t="shared" si="9"/>
        <v>0</v>
      </c>
      <c r="J19" s="56">
        <f t="shared" si="9"/>
        <v>0</v>
      </c>
      <c r="K19" s="56">
        <f t="shared" si="9"/>
        <v>0</v>
      </c>
      <c r="L19" s="56">
        <f>L20*$D$20/1000</f>
        <v>0</v>
      </c>
      <c r="M19" s="70">
        <f>M20*$E$20</f>
        <v>0</v>
      </c>
      <c r="N19" s="56">
        <f>N20*$D$20/1000</f>
        <v>0</v>
      </c>
      <c r="O19" s="56">
        <f>O20*$E$20/1000</f>
        <v>0</v>
      </c>
      <c r="P19" s="56">
        <f>L19+M19+N19+O19</f>
        <v>0</v>
      </c>
      <c r="Q19" s="56">
        <f>$C$20*Q20/1000</f>
        <v>0</v>
      </c>
      <c r="R19" s="56">
        <f>$C$20*R20/1000</f>
        <v>0</v>
      </c>
      <c r="S19" s="71">
        <f>S20*$D$20/1000</f>
        <v>0</v>
      </c>
      <c r="T19" s="56">
        <f>T20*$E$20/1000</f>
        <v>0</v>
      </c>
      <c r="U19" s="56">
        <f>U20*$D$20/1000</f>
        <v>0</v>
      </c>
      <c r="V19" s="56">
        <f>V20*$E$20/1000</f>
        <v>0</v>
      </c>
      <c r="W19" s="56">
        <f>$C$20*W20/1000</f>
        <v>0</v>
      </c>
      <c r="X19" s="56">
        <f>$C$20*X20/1000</f>
        <v>0</v>
      </c>
      <c r="Y19" s="56">
        <f>F19-P19</f>
        <v>0</v>
      </c>
      <c r="Z19" s="69"/>
      <c r="AA19" s="69"/>
      <c r="AB19" s="69"/>
      <c r="AC19" s="69"/>
    </row>
    <row r="20" spans="1:42" ht="13.8" customHeight="1">
      <c r="A20" s="64" t="s">
        <v>45</v>
      </c>
      <c r="B20" s="64" t="s">
        <v>46</v>
      </c>
      <c r="C20" s="61">
        <f t="shared" si="8"/>
        <v>0</v>
      </c>
      <c r="D20" s="65">
        <f>QSTBKT!B6*0.5/30</f>
        <v>0</v>
      </c>
      <c r="E20" s="65">
        <f>QSTBKT!B8*0.5/30</f>
        <v>0</v>
      </c>
      <c r="F20" s="62">
        <f>ChiLenhHCKT!D28</f>
        <v>0</v>
      </c>
      <c r="G20" s="62">
        <f>ChiLenhHCKT!G28</f>
        <v>0</v>
      </c>
      <c r="H20" s="62">
        <f>ChiLenhHCKT!H28</f>
        <v>0</v>
      </c>
      <c r="I20" s="62">
        <f>PhanCapVCHC!G17</f>
        <v>0</v>
      </c>
      <c r="J20" s="62">
        <f>PhanCapVCHC!H17</f>
        <v>0</v>
      </c>
      <c r="K20" s="62">
        <f>ChiLenhHCKT!F28</f>
        <v>0</v>
      </c>
      <c r="L20" s="62">
        <f>TinhHinhVC!D27</f>
        <v>0</v>
      </c>
      <c r="M20" s="62">
        <v>0</v>
      </c>
      <c r="N20" s="62">
        <f>TinhHinhVC!E27</f>
        <v>0</v>
      </c>
      <c r="O20" s="63">
        <v>3</v>
      </c>
      <c r="P20" s="62"/>
      <c r="Q20" s="62">
        <f>PhanCapVCHC!D17</f>
        <v>0</v>
      </c>
      <c r="R20" s="62">
        <f>PhanCapVCHC!E17</f>
        <v>0</v>
      </c>
      <c r="S20" s="62">
        <f t="shared" si="2"/>
        <v>0</v>
      </c>
      <c r="T20" s="62">
        <f t="shared" si="3"/>
        <v>0</v>
      </c>
      <c r="U20" s="62">
        <f t="shared" si="4"/>
        <v>0</v>
      </c>
      <c r="V20" s="62">
        <f t="shared" si="5"/>
        <v>-3</v>
      </c>
      <c r="W20" s="62">
        <f t="shared" si="6"/>
        <v>0</v>
      </c>
      <c r="X20" s="62">
        <f t="shared" si="7"/>
        <v>0</v>
      </c>
      <c r="Y20" s="62"/>
      <c r="Z20" s="48"/>
      <c r="AA20" s="48"/>
      <c r="AB20" s="48"/>
      <c r="AC20" s="48"/>
      <c r="AE20" s="72"/>
    </row>
    <row r="21" spans="1:42" ht="13.8" customHeight="1">
      <c r="A21" s="68" t="s">
        <v>47</v>
      </c>
      <c r="B21" s="68" t="s">
        <v>6</v>
      </c>
      <c r="C21" s="65"/>
      <c r="D21" s="65"/>
      <c r="E21" s="65"/>
      <c r="F21" s="70">
        <f>ChiLenhHCKT!D29</f>
        <v>0</v>
      </c>
      <c r="G21" s="70">
        <f>ChiLenhHCKT!G29</f>
        <v>0</v>
      </c>
      <c r="H21" s="70">
        <f>ChiLenhHCKT!H29</f>
        <v>0</v>
      </c>
      <c r="I21" s="70">
        <f>PhanCapVCHC!G18</f>
        <v>0</v>
      </c>
      <c r="J21" s="70">
        <f>PhanCapVCHC!H18</f>
        <v>0</v>
      </c>
      <c r="K21" s="70">
        <f>ChiLenhHCKT!F29</f>
        <v>0</v>
      </c>
      <c r="L21" s="73">
        <f>TinhHinhVC!D29</f>
        <v>0</v>
      </c>
      <c r="M21" s="73">
        <v>0</v>
      </c>
      <c r="N21" s="73">
        <f>TinhHinhVC!E29</f>
        <v>0</v>
      </c>
      <c r="O21" s="74">
        <v>0</v>
      </c>
      <c r="P21" s="56">
        <f>L21+M21+N21+O21</f>
        <v>0</v>
      </c>
      <c r="Q21" s="73">
        <f>PhanCapVCHC!D18</f>
        <v>0</v>
      </c>
      <c r="R21" s="62">
        <f>PhanCapVCHC!E18</f>
        <v>0</v>
      </c>
      <c r="S21" s="56">
        <f t="shared" si="2"/>
        <v>0</v>
      </c>
      <c r="T21" s="75" t="s">
        <v>34</v>
      </c>
      <c r="U21" s="56">
        <f t="shared" si="4"/>
        <v>0</v>
      </c>
      <c r="V21" s="75" t="s">
        <v>34</v>
      </c>
      <c r="W21" s="56">
        <f t="shared" si="6"/>
        <v>0</v>
      </c>
      <c r="X21" s="56">
        <f t="shared" si="7"/>
        <v>0</v>
      </c>
      <c r="Y21" s="56">
        <f>F21-P21</f>
        <v>0</v>
      </c>
      <c r="Z21" s="48"/>
      <c r="AA21" s="48"/>
      <c r="AB21" s="48"/>
      <c r="AC21" s="48"/>
      <c r="AE21" s="72"/>
    </row>
    <row r="22" spans="1:42">
      <c r="A22" s="76" t="s">
        <v>48</v>
      </c>
      <c r="B22" s="76"/>
      <c r="C22" s="77"/>
      <c r="D22" s="77"/>
      <c r="E22" s="77"/>
      <c r="F22" s="78">
        <f>F23+F29+F34+F36</f>
        <v>0</v>
      </c>
      <c r="G22" s="78">
        <f t="shared" ref="G22:Y22" si="10">G23+G29+G34+G36</f>
        <v>0</v>
      </c>
      <c r="H22" s="78">
        <f t="shared" si="10"/>
        <v>0</v>
      </c>
      <c r="I22" s="79" t="s">
        <v>34</v>
      </c>
      <c r="J22" s="78">
        <f t="shared" si="10"/>
        <v>0</v>
      </c>
      <c r="K22" s="78">
        <f t="shared" si="10"/>
        <v>0</v>
      </c>
      <c r="L22" s="79" t="s">
        <v>34</v>
      </c>
      <c r="M22" s="79" t="s">
        <v>34</v>
      </c>
      <c r="N22" s="78">
        <f t="shared" si="10"/>
        <v>0</v>
      </c>
      <c r="O22" s="79" t="s">
        <v>34</v>
      </c>
      <c r="P22" s="78">
        <f t="shared" si="10"/>
        <v>0</v>
      </c>
      <c r="Q22" s="79" t="s">
        <v>34</v>
      </c>
      <c r="R22" s="78">
        <f t="shared" si="10"/>
        <v>0</v>
      </c>
      <c r="S22" s="79" t="s">
        <v>34</v>
      </c>
      <c r="T22" s="79" t="s">
        <v>34</v>
      </c>
      <c r="U22" s="78">
        <f t="shared" si="10"/>
        <v>0</v>
      </c>
      <c r="V22" s="79" t="s">
        <v>34</v>
      </c>
      <c r="W22" s="79" t="s">
        <v>34</v>
      </c>
      <c r="X22" s="78">
        <f t="shared" si="10"/>
        <v>0</v>
      </c>
      <c r="Y22" s="78">
        <f t="shared" si="10"/>
        <v>0</v>
      </c>
      <c r="Z22" s="80"/>
      <c r="AA22" s="80"/>
      <c r="AB22" s="80"/>
      <c r="AC22" s="57"/>
      <c r="AE22" s="72"/>
    </row>
    <row r="23" spans="1:42">
      <c r="A23" s="81" t="s">
        <v>28</v>
      </c>
      <c r="B23" s="81" t="s">
        <v>6</v>
      </c>
      <c r="C23" s="77"/>
      <c r="D23" s="77"/>
      <c r="E23" s="77"/>
      <c r="F23" s="78">
        <f>SUMPRODUCT($C$24:$C$28,F24:F28)/1000</f>
        <v>0</v>
      </c>
      <c r="G23" s="78">
        <f>SUMPRODUCT($C$24:$C$28,G24:G28)/1000</f>
        <v>0</v>
      </c>
      <c r="H23" s="78">
        <f>SUMPRODUCT($C$24:$C$28,H24:H28)/1000</f>
        <v>0</v>
      </c>
      <c r="I23" s="79" t="s">
        <v>34</v>
      </c>
      <c r="J23" s="78">
        <f>SUMPRODUCT($C$24:$C$28,J24:J28)/1000</f>
        <v>0</v>
      </c>
      <c r="K23" s="78">
        <f>SUMPRODUCT($C$24:$C$28,K24:K28)/1000</f>
        <v>0</v>
      </c>
      <c r="L23" s="79" t="s">
        <v>34</v>
      </c>
      <c r="M23" s="79" t="s">
        <v>34</v>
      </c>
      <c r="N23" s="78">
        <f>SUMPRODUCT($C$24:$C$28,N24:N28)/1000</f>
        <v>0</v>
      </c>
      <c r="O23" s="79" t="s">
        <v>34</v>
      </c>
      <c r="P23" s="78">
        <f>N23</f>
        <v>0</v>
      </c>
      <c r="Q23" s="79" t="s">
        <v>34</v>
      </c>
      <c r="R23" s="78">
        <f>SUMPRODUCT($C$24:$C$28,R24:R28)/1000</f>
        <v>0</v>
      </c>
      <c r="S23" s="79" t="s">
        <v>34</v>
      </c>
      <c r="T23" s="79" t="s">
        <v>34</v>
      </c>
      <c r="U23" s="82">
        <f>G23+R23-N23</f>
        <v>0</v>
      </c>
      <c r="V23" s="79" t="s">
        <v>34</v>
      </c>
      <c r="W23" s="79" t="s">
        <v>34</v>
      </c>
      <c r="X23" s="78">
        <f>H23+J23-R23</f>
        <v>0</v>
      </c>
      <c r="Y23" s="78">
        <f>F23-N23</f>
        <v>0</v>
      </c>
      <c r="Z23" s="57"/>
      <c r="AA23" s="57"/>
      <c r="AB23" s="57"/>
      <c r="AC23" s="57"/>
      <c r="AE23" s="83"/>
    </row>
    <row r="24" spans="1:42">
      <c r="A24" s="84" t="s">
        <v>5</v>
      </c>
      <c r="B24" s="84" t="s">
        <v>29</v>
      </c>
      <c r="C24" s="85">
        <f>1.2*QSTBKT!B36</f>
        <v>0</v>
      </c>
      <c r="D24" s="85"/>
      <c r="E24" s="85"/>
      <c r="F24" s="86">
        <f>F9</f>
        <v>0</v>
      </c>
      <c r="G24" s="86">
        <f t="shared" ref="G24:H24" si="11">G9</f>
        <v>0</v>
      </c>
      <c r="H24" s="86">
        <f t="shared" si="11"/>
        <v>0</v>
      </c>
      <c r="I24" s="79" t="s">
        <v>34</v>
      </c>
      <c r="J24" s="86">
        <f>J9</f>
        <v>0</v>
      </c>
      <c r="K24" s="86">
        <f>J24</f>
        <v>0</v>
      </c>
      <c r="L24" s="79" t="s">
        <v>34</v>
      </c>
      <c r="M24" s="79" t="s">
        <v>34</v>
      </c>
      <c r="N24" s="86">
        <f>N9</f>
        <v>0</v>
      </c>
      <c r="O24" s="79" t="s">
        <v>34</v>
      </c>
      <c r="P24" s="86"/>
      <c r="Q24" s="79" t="s">
        <v>34</v>
      </c>
      <c r="R24" s="86">
        <f>R9</f>
        <v>0</v>
      </c>
      <c r="S24" s="79" t="s">
        <v>34</v>
      </c>
      <c r="T24" s="79" t="s">
        <v>34</v>
      </c>
      <c r="U24" s="82">
        <f t="shared" ref="U24:U36" si="12">G24+R24-N24</f>
        <v>0</v>
      </c>
      <c r="V24" s="79" t="s">
        <v>34</v>
      </c>
      <c r="W24" s="79" t="s">
        <v>34</v>
      </c>
      <c r="X24" s="78">
        <f t="shared" ref="X24:X36" si="13">H24+J24-R24</f>
        <v>0</v>
      </c>
      <c r="Y24" s="86"/>
      <c r="Z24" s="48"/>
      <c r="AA24" s="48"/>
      <c r="AB24" s="48"/>
      <c r="AC24" s="48"/>
      <c r="AE24" s="87"/>
    </row>
    <row r="25" spans="1:42">
      <c r="A25" s="88" t="s">
        <v>31</v>
      </c>
      <c r="B25" s="84" t="s">
        <v>29</v>
      </c>
      <c r="C25" s="85">
        <f>0.75*QSTBKT!B36</f>
        <v>0</v>
      </c>
      <c r="D25" s="89"/>
      <c r="E25" s="89"/>
      <c r="F25" s="86">
        <f t="shared" ref="F25:H28" si="14">F10</f>
        <v>0</v>
      </c>
      <c r="G25" s="86">
        <f t="shared" si="14"/>
        <v>0</v>
      </c>
      <c r="H25" s="86">
        <f t="shared" si="14"/>
        <v>0</v>
      </c>
      <c r="I25" s="79" t="s">
        <v>34</v>
      </c>
      <c r="J25" s="86">
        <f>J10</f>
        <v>0</v>
      </c>
      <c r="K25" s="86">
        <f>J25</f>
        <v>0</v>
      </c>
      <c r="L25" s="79" t="s">
        <v>34</v>
      </c>
      <c r="M25" s="79" t="s">
        <v>34</v>
      </c>
      <c r="N25" s="86">
        <f>N10</f>
        <v>0</v>
      </c>
      <c r="O25" s="79" t="s">
        <v>34</v>
      </c>
      <c r="P25" s="86"/>
      <c r="Q25" s="79" t="s">
        <v>34</v>
      </c>
      <c r="R25" s="86">
        <f>R10</f>
        <v>0</v>
      </c>
      <c r="S25" s="79" t="s">
        <v>34</v>
      </c>
      <c r="T25" s="79" t="s">
        <v>34</v>
      </c>
      <c r="U25" s="82">
        <f t="shared" si="12"/>
        <v>0</v>
      </c>
      <c r="V25" s="79" t="s">
        <v>34</v>
      </c>
      <c r="W25" s="79" t="s">
        <v>34</v>
      </c>
      <c r="X25" s="78">
        <f t="shared" si="13"/>
        <v>0</v>
      </c>
      <c r="Y25" s="86"/>
      <c r="Z25" s="48"/>
      <c r="AA25" s="48"/>
      <c r="AB25" s="48"/>
      <c r="AC25" s="48"/>
      <c r="AE25" s="90"/>
      <c r="AL25" s="91"/>
      <c r="AM25" s="91"/>
      <c r="AN25" s="91"/>
      <c r="AO25" s="91"/>
      <c r="AP25" s="91"/>
    </row>
    <row r="26" spans="1:42">
      <c r="A26" s="88" t="s">
        <v>32</v>
      </c>
      <c r="B26" s="85" t="s">
        <v>33</v>
      </c>
      <c r="C26" s="92" t="s">
        <v>34</v>
      </c>
      <c r="D26" s="89"/>
      <c r="E26" s="89"/>
      <c r="F26" s="79" t="s">
        <v>34</v>
      </c>
      <c r="G26" s="79" t="s">
        <v>34</v>
      </c>
      <c r="H26" s="79" t="s">
        <v>34</v>
      </c>
      <c r="I26" s="79" t="s">
        <v>34</v>
      </c>
      <c r="J26" s="79" t="s">
        <v>34</v>
      </c>
      <c r="K26" s="79" t="s">
        <v>34</v>
      </c>
      <c r="L26" s="79" t="s">
        <v>34</v>
      </c>
      <c r="M26" s="79" t="s">
        <v>34</v>
      </c>
      <c r="N26" s="79" t="s">
        <v>34</v>
      </c>
      <c r="O26" s="79" t="s">
        <v>34</v>
      </c>
      <c r="P26" s="79" t="s">
        <v>34</v>
      </c>
      <c r="Q26" s="79" t="s">
        <v>34</v>
      </c>
      <c r="R26" s="79" t="s">
        <v>34</v>
      </c>
      <c r="S26" s="79" t="s">
        <v>34</v>
      </c>
      <c r="T26" s="79" t="s">
        <v>34</v>
      </c>
      <c r="U26" s="79" t="s">
        <v>34</v>
      </c>
      <c r="V26" s="79" t="s">
        <v>34</v>
      </c>
      <c r="W26" s="79" t="s">
        <v>34</v>
      </c>
      <c r="X26" s="79" t="s">
        <v>34</v>
      </c>
      <c r="Y26" s="79" t="s">
        <v>34</v>
      </c>
      <c r="Z26" s="48"/>
      <c r="AA26" s="48"/>
      <c r="AB26" s="48"/>
      <c r="AC26" s="48"/>
      <c r="AE26" s="90"/>
      <c r="AL26" s="93"/>
      <c r="AM26" s="93"/>
      <c r="AN26" s="93"/>
      <c r="AO26" s="93"/>
      <c r="AP26" s="94"/>
    </row>
    <row r="27" spans="1:42">
      <c r="A27" s="88" t="s">
        <v>35</v>
      </c>
      <c r="B27" s="85" t="s">
        <v>33</v>
      </c>
      <c r="C27" s="85">
        <f>0.01*QSTBKT!B36*2</f>
        <v>0</v>
      </c>
      <c r="D27" s="89"/>
      <c r="E27" s="89"/>
      <c r="F27" s="86">
        <f t="shared" si="14"/>
        <v>0</v>
      </c>
      <c r="G27" s="86">
        <f t="shared" si="14"/>
        <v>0</v>
      </c>
      <c r="H27" s="86">
        <f t="shared" si="14"/>
        <v>0</v>
      </c>
      <c r="I27" s="79" t="s">
        <v>34</v>
      </c>
      <c r="J27" s="86">
        <f>J12</f>
        <v>0</v>
      </c>
      <c r="K27" s="86">
        <f>J27</f>
        <v>0</v>
      </c>
      <c r="L27" s="79" t="s">
        <v>34</v>
      </c>
      <c r="M27" s="79" t="s">
        <v>34</v>
      </c>
      <c r="N27" s="86">
        <f>N12</f>
        <v>0</v>
      </c>
      <c r="O27" s="79" t="s">
        <v>34</v>
      </c>
      <c r="P27" s="86"/>
      <c r="Q27" s="79" t="s">
        <v>34</v>
      </c>
      <c r="R27" s="86">
        <f>R12</f>
        <v>0</v>
      </c>
      <c r="S27" s="79" t="s">
        <v>34</v>
      </c>
      <c r="T27" s="79" t="s">
        <v>34</v>
      </c>
      <c r="U27" s="82">
        <f t="shared" si="12"/>
        <v>0</v>
      </c>
      <c r="V27" s="79" t="s">
        <v>34</v>
      </c>
      <c r="W27" s="79" t="s">
        <v>34</v>
      </c>
      <c r="X27" s="78">
        <f t="shared" si="13"/>
        <v>0</v>
      </c>
      <c r="Y27" s="86"/>
      <c r="Z27" s="48"/>
      <c r="AA27" s="48"/>
      <c r="AB27" s="48"/>
      <c r="AC27" s="48"/>
      <c r="AE27" s="90"/>
      <c r="AL27" s="95"/>
      <c r="AM27" s="95"/>
      <c r="AN27" s="95"/>
      <c r="AO27" s="95"/>
      <c r="AP27" s="95"/>
    </row>
    <row r="28" spans="1:42">
      <c r="A28" s="96" t="s">
        <v>36</v>
      </c>
      <c r="B28" s="85" t="s">
        <v>33</v>
      </c>
      <c r="C28" s="85">
        <f>0.01*QSTBKT!B36*3</f>
        <v>0</v>
      </c>
      <c r="D28" s="89"/>
      <c r="E28" s="89"/>
      <c r="F28" s="86">
        <f t="shared" si="14"/>
        <v>0</v>
      </c>
      <c r="G28" s="86">
        <f t="shared" si="14"/>
        <v>0</v>
      </c>
      <c r="H28" s="86">
        <f t="shared" si="14"/>
        <v>0</v>
      </c>
      <c r="I28" s="79" t="s">
        <v>34</v>
      </c>
      <c r="J28" s="86">
        <f>J13</f>
        <v>0</v>
      </c>
      <c r="K28" s="86">
        <f>J28</f>
        <v>0</v>
      </c>
      <c r="L28" s="79" t="s">
        <v>34</v>
      </c>
      <c r="M28" s="79" t="s">
        <v>34</v>
      </c>
      <c r="N28" s="86">
        <f>N13</f>
        <v>0</v>
      </c>
      <c r="O28" s="79" t="s">
        <v>34</v>
      </c>
      <c r="P28" s="86"/>
      <c r="Q28" s="79" t="s">
        <v>34</v>
      </c>
      <c r="R28" s="86">
        <f>R13</f>
        <v>0</v>
      </c>
      <c r="S28" s="79" t="s">
        <v>34</v>
      </c>
      <c r="T28" s="79" t="s">
        <v>34</v>
      </c>
      <c r="U28" s="82">
        <f t="shared" si="12"/>
        <v>0</v>
      </c>
      <c r="V28" s="79" t="s">
        <v>34</v>
      </c>
      <c r="W28" s="79" t="s">
        <v>34</v>
      </c>
      <c r="X28" s="78">
        <f t="shared" si="13"/>
        <v>0</v>
      </c>
      <c r="Y28" s="86"/>
      <c r="Z28" s="48"/>
      <c r="AA28" s="48"/>
      <c r="AB28" s="48"/>
      <c r="AC28" s="48"/>
      <c r="AE28" s="97"/>
      <c r="AL28" s="95"/>
      <c r="AM28" s="95"/>
      <c r="AN28" s="95"/>
      <c r="AO28" s="95"/>
      <c r="AP28" s="95"/>
    </row>
    <row r="29" spans="1:42">
      <c r="A29" s="98" t="s">
        <v>37</v>
      </c>
      <c r="B29" s="81" t="s">
        <v>6</v>
      </c>
      <c r="C29" s="77"/>
      <c r="D29" s="78"/>
      <c r="E29" s="78"/>
      <c r="F29" s="78">
        <f>SUMPRODUCT($C$30:$C$33,F30:F33)/1000</f>
        <v>0</v>
      </c>
      <c r="G29" s="78">
        <f>SUMPRODUCT($C$30:$C$33,G30:G33)/1000</f>
        <v>0</v>
      </c>
      <c r="H29" s="78">
        <f>SUMPRODUCT($C$30:$C$33,H30:H33)/1000</f>
        <v>0</v>
      </c>
      <c r="I29" s="79" t="s">
        <v>34</v>
      </c>
      <c r="J29" s="78">
        <f>SUMPRODUCT($C$30:$C$33,J30:J33)/1000</f>
        <v>0</v>
      </c>
      <c r="K29" s="86">
        <f t="shared" ref="K29:K36" si="15">J29</f>
        <v>0</v>
      </c>
      <c r="L29" s="79" t="s">
        <v>34</v>
      </c>
      <c r="M29" s="79" t="s">
        <v>34</v>
      </c>
      <c r="N29" s="78">
        <f>SUMPRODUCT($C$30:$C$33,N30:N33)/1000</f>
        <v>0</v>
      </c>
      <c r="O29" s="79" t="s">
        <v>34</v>
      </c>
      <c r="P29" s="78">
        <f>N29</f>
        <v>0</v>
      </c>
      <c r="Q29" s="79" t="s">
        <v>34</v>
      </c>
      <c r="R29" s="78">
        <f>SUMPRODUCT($C$30:$C$33,R30:R33)/1000</f>
        <v>0</v>
      </c>
      <c r="S29" s="79" t="s">
        <v>34</v>
      </c>
      <c r="T29" s="79" t="s">
        <v>34</v>
      </c>
      <c r="U29" s="82">
        <f t="shared" si="12"/>
        <v>0</v>
      </c>
      <c r="V29" s="79" t="s">
        <v>34</v>
      </c>
      <c r="W29" s="79" t="s">
        <v>34</v>
      </c>
      <c r="X29" s="78">
        <f t="shared" si="13"/>
        <v>0</v>
      </c>
      <c r="Y29" s="78">
        <f>F29-N29</f>
        <v>0</v>
      </c>
      <c r="Z29" s="69"/>
      <c r="AA29" s="69"/>
      <c r="AB29" s="69"/>
      <c r="AC29" s="69"/>
      <c r="AE29" s="97"/>
      <c r="AL29" s="95"/>
      <c r="AM29" s="95"/>
      <c r="AN29" s="95"/>
      <c r="AO29" s="95"/>
      <c r="AP29" s="95"/>
    </row>
    <row r="30" spans="1:42">
      <c r="A30" s="88" t="s">
        <v>38</v>
      </c>
      <c r="B30" s="88" t="s">
        <v>39</v>
      </c>
      <c r="C30" s="85">
        <v>6</v>
      </c>
      <c r="D30" s="89"/>
      <c r="E30" s="89"/>
      <c r="F30" s="63"/>
      <c r="G30" s="63"/>
      <c r="H30" s="63"/>
      <c r="I30" s="79" t="s">
        <v>34</v>
      </c>
      <c r="J30" s="63"/>
      <c r="K30" s="86">
        <f t="shared" si="15"/>
        <v>0</v>
      </c>
      <c r="L30" s="79" t="s">
        <v>34</v>
      </c>
      <c r="M30" s="79" t="s">
        <v>34</v>
      </c>
      <c r="N30" s="63"/>
      <c r="O30" s="79" t="s">
        <v>34</v>
      </c>
      <c r="P30" s="86"/>
      <c r="Q30" s="79" t="s">
        <v>34</v>
      </c>
      <c r="R30" s="48"/>
      <c r="S30" s="79" t="s">
        <v>34</v>
      </c>
      <c r="T30" s="79" t="s">
        <v>34</v>
      </c>
      <c r="U30" s="82">
        <f t="shared" si="12"/>
        <v>0</v>
      </c>
      <c r="V30" s="79" t="s">
        <v>34</v>
      </c>
      <c r="W30" s="79" t="s">
        <v>34</v>
      </c>
      <c r="X30" s="78">
        <f t="shared" si="13"/>
        <v>0</v>
      </c>
      <c r="Y30" s="86"/>
      <c r="Z30" s="48"/>
      <c r="AA30" s="48"/>
      <c r="AB30" s="48"/>
      <c r="AC30" s="48"/>
      <c r="AE30" s="99"/>
      <c r="AL30" s="95"/>
      <c r="AM30" s="95"/>
      <c r="AN30" s="95"/>
      <c r="AO30" s="95"/>
      <c r="AP30" s="95"/>
    </row>
    <row r="31" spans="1:42">
      <c r="A31" s="88" t="s">
        <v>40</v>
      </c>
      <c r="B31" s="88" t="s">
        <v>39</v>
      </c>
      <c r="C31" s="85">
        <v>4</v>
      </c>
      <c r="D31" s="89"/>
      <c r="E31" s="89"/>
      <c r="F31" s="63"/>
      <c r="G31" s="63"/>
      <c r="H31" s="63"/>
      <c r="I31" s="79" t="s">
        <v>34</v>
      </c>
      <c r="J31" s="63"/>
      <c r="K31" s="86">
        <f t="shared" si="15"/>
        <v>0</v>
      </c>
      <c r="L31" s="79" t="s">
        <v>34</v>
      </c>
      <c r="M31" s="79" t="s">
        <v>34</v>
      </c>
      <c r="N31" s="63"/>
      <c r="O31" s="79" t="s">
        <v>34</v>
      </c>
      <c r="P31" s="86"/>
      <c r="Q31" s="79" t="s">
        <v>34</v>
      </c>
      <c r="R31" s="48"/>
      <c r="S31" s="79" t="s">
        <v>34</v>
      </c>
      <c r="T31" s="79" t="s">
        <v>34</v>
      </c>
      <c r="U31" s="82">
        <f t="shared" si="12"/>
        <v>0</v>
      </c>
      <c r="V31" s="79" t="s">
        <v>34</v>
      </c>
      <c r="W31" s="79" t="s">
        <v>34</v>
      </c>
      <c r="X31" s="78">
        <f t="shared" si="13"/>
        <v>0</v>
      </c>
      <c r="Y31" s="86"/>
      <c r="Z31" s="48"/>
      <c r="AA31" s="48"/>
      <c r="AB31" s="48"/>
      <c r="AC31" s="48"/>
      <c r="AE31" s="95"/>
      <c r="AL31" s="95"/>
      <c r="AM31" s="95"/>
      <c r="AN31" s="95"/>
      <c r="AO31" s="95"/>
      <c r="AP31" s="95"/>
    </row>
    <row r="32" spans="1:42">
      <c r="A32" s="88" t="s">
        <v>41</v>
      </c>
      <c r="B32" s="88" t="s">
        <v>39</v>
      </c>
      <c r="C32" s="85">
        <v>2</v>
      </c>
      <c r="D32" s="89"/>
      <c r="E32" s="89"/>
      <c r="F32" s="63"/>
      <c r="G32" s="63"/>
      <c r="H32" s="63"/>
      <c r="I32" s="79" t="s">
        <v>34</v>
      </c>
      <c r="J32" s="63"/>
      <c r="K32" s="86">
        <f t="shared" si="15"/>
        <v>0</v>
      </c>
      <c r="L32" s="79" t="s">
        <v>34</v>
      </c>
      <c r="M32" s="79" t="s">
        <v>34</v>
      </c>
      <c r="N32" s="63"/>
      <c r="O32" s="79" t="s">
        <v>34</v>
      </c>
      <c r="P32" s="86"/>
      <c r="Q32" s="79" t="s">
        <v>34</v>
      </c>
      <c r="R32" s="48"/>
      <c r="S32" s="79" t="s">
        <v>34</v>
      </c>
      <c r="T32" s="79" t="s">
        <v>34</v>
      </c>
      <c r="U32" s="82">
        <f t="shared" si="12"/>
        <v>0</v>
      </c>
      <c r="V32" s="79" t="s">
        <v>34</v>
      </c>
      <c r="W32" s="79" t="s">
        <v>34</v>
      </c>
      <c r="X32" s="78">
        <f t="shared" si="13"/>
        <v>0</v>
      </c>
      <c r="Y32" s="86"/>
      <c r="Z32" s="48"/>
      <c r="AA32" s="48"/>
      <c r="AB32" s="48"/>
      <c r="AC32" s="48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</row>
    <row r="33" spans="1:31">
      <c r="A33" s="88" t="s">
        <v>42</v>
      </c>
      <c r="B33" s="88" t="s">
        <v>43</v>
      </c>
      <c r="C33" s="85">
        <f>0.07*QSTBKT!B36</f>
        <v>0</v>
      </c>
      <c r="D33" s="89"/>
      <c r="E33" s="89"/>
      <c r="F33" s="86">
        <f t="shared" ref="F33:J33" si="16">F18</f>
        <v>0</v>
      </c>
      <c r="G33" s="86">
        <f t="shared" si="16"/>
        <v>0</v>
      </c>
      <c r="H33" s="86">
        <f t="shared" si="16"/>
        <v>0</v>
      </c>
      <c r="I33" s="79" t="s">
        <v>34</v>
      </c>
      <c r="J33" s="86">
        <f t="shared" si="16"/>
        <v>0</v>
      </c>
      <c r="K33" s="86">
        <f t="shared" si="15"/>
        <v>0</v>
      </c>
      <c r="L33" s="79" t="s">
        <v>34</v>
      </c>
      <c r="M33" s="79" t="s">
        <v>34</v>
      </c>
      <c r="N33" s="86">
        <f t="shared" ref="N33" si="17">N18</f>
        <v>0</v>
      </c>
      <c r="O33" s="79" t="s">
        <v>34</v>
      </c>
      <c r="P33" s="86"/>
      <c r="Q33" s="79" t="s">
        <v>34</v>
      </c>
      <c r="R33" s="86">
        <f t="shared" ref="R33" si="18">R18</f>
        <v>0</v>
      </c>
      <c r="S33" s="79" t="s">
        <v>34</v>
      </c>
      <c r="T33" s="79" t="s">
        <v>34</v>
      </c>
      <c r="U33" s="82">
        <f t="shared" si="12"/>
        <v>0</v>
      </c>
      <c r="V33" s="79" t="s">
        <v>34</v>
      </c>
      <c r="W33" s="79" t="s">
        <v>34</v>
      </c>
      <c r="X33" s="78">
        <f t="shared" si="13"/>
        <v>0</v>
      </c>
      <c r="Y33" s="86"/>
      <c r="Z33" s="48"/>
      <c r="AA33" s="48"/>
      <c r="AB33" s="48"/>
      <c r="AC33" s="48"/>
      <c r="AE33" s="72"/>
    </row>
    <row r="34" spans="1:31">
      <c r="A34" s="98" t="s">
        <v>44</v>
      </c>
      <c r="B34" s="81" t="s">
        <v>6</v>
      </c>
      <c r="C34" s="77"/>
      <c r="D34" s="78"/>
      <c r="E34" s="78"/>
      <c r="F34" s="78">
        <f>F35*$C$35/1000</f>
        <v>0</v>
      </c>
      <c r="G34" s="78">
        <f>G35*$C$35/1000</f>
        <v>0</v>
      </c>
      <c r="H34" s="78">
        <f>H35*$C$35/1000</f>
        <v>0</v>
      </c>
      <c r="I34" s="79" t="s">
        <v>34</v>
      </c>
      <c r="J34" s="78">
        <f>J35*$C$35/1000</f>
        <v>0</v>
      </c>
      <c r="K34" s="86">
        <f t="shared" si="15"/>
        <v>0</v>
      </c>
      <c r="L34" s="79" t="s">
        <v>34</v>
      </c>
      <c r="M34" s="79" t="s">
        <v>34</v>
      </c>
      <c r="N34" s="78">
        <f>N35*$C$35/1000</f>
        <v>0</v>
      </c>
      <c r="O34" s="79" t="s">
        <v>34</v>
      </c>
      <c r="P34" s="78">
        <f>N34</f>
        <v>0</v>
      </c>
      <c r="Q34" s="79" t="s">
        <v>34</v>
      </c>
      <c r="R34" s="78">
        <f>R35*$C$35/1000</f>
        <v>0</v>
      </c>
      <c r="S34" s="79" t="s">
        <v>34</v>
      </c>
      <c r="T34" s="79" t="s">
        <v>34</v>
      </c>
      <c r="U34" s="82">
        <f t="shared" si="12"/>
        <v>0</v>
      </c>
      <c r="V34" s="79" t="s">
        <v>34</v>
      </c>
      <c r="W34" s="79" t="s">
        <v>34</v>
      </c>
      <c r="X34" s="78">
        <f t="shared" si="13"/>
        <v>0</v>
      </c>
      <c r="Y34" s="78">
        <f>F34-N34</f>
        <v>0</v>
      </c>
      <c r="Z34" s="69"/>
      <c r="AA34" s="69"/>
      <c r="AB34" s="69"/>
      <c r="AC34" s="69"/>
      <c r="AE34" s="72"/>
    </row>
    <row r="35" spans="1:31">
      <c r="A35" s="88" t="s">
        <v>45</v>
      </c>
      <c r="B35" s="88" t="s">
        <v>46</v>
      </c>
      <c r="C35" s="85">
        <f>0.5*QSTBKT!B36/30</f>
        <v>0</v>
      </c>
      <c r="D35" s="89"/>
      <c r="E35" s="89"/>
      <c r="F35" s="86">
        <f>F20</f>
        <v>0</v>
      </c>
      <c r="G35" s="86">
        <f>G20</f>
        <v>0</v>
      </c>
      <c r="H35" s="86">
        <f>H20</f>
        <v>0</v>
      </c>
      <c r="I35" s="79" t="s">
        <v>34</v>
      </c>
      <c r="J35" s="86">
        <f>J20</f>
        <v>0</v>
      </c>
      <c r="K35" s="86">
        <f t="shared" si="15"/>
        <v>0</v>
      </c>
      <c r="L35" s="79" t="s">
        <v>34</v>
      </c>
      <c r="M35" s="79" t="s">
        <v>34</v>
      </c>
      <c r="N35" s="86">
        <f>N20</f>
        <v>0</v>
      </c>
      <c r="O35" s="79" t="s">
        <v>34</v>
      </c>
      <c r="P35" s="86"/>
      <c r="Q35" s="79" t="s">
        <v>34</v>
      </c>
      <c r="R35" s="86">
        <f>R20</f>
        <v>0</v>
      </c>
      <c r="S35" s="79" t="s">
        <v>34</v>
      </c>
      <c r="T35" s="79" t="s">
        <v>34</v>
      </c>
      <c r="U35" s="82">
        <f t="shared" si="12"/>
        <v>0</v>
      </c>
      <c r="V35" s="79" t="s">
        <v>34</v>
      </c>
      <c r="W35" s="79" t="s">
        <v>34</v>
      </c>
      <c r="X35" s="78">
        <f t="shared" si="13"/>
        <v>0</v>
      </c>
      <c r="Y35" s="86"/>
      <c r="Z35" s="48"/>
      <c r="AA35" s="48"/>
      <c r="AB35" s="48"/>
      <c r="AC35" s="48"/>
      <c r="AE35" s="72"/>
    </row>
    <row r="36" spans="1:31">
      <c r="A36" s="98" t="s">
        <v>47</v>
      </c>
      <c r="B36" s="81" t="s">
        <v>6</v>
      </c>
      <c r="C36" s="89"/>
      <c r="D36" s="89"/>
      <c r="E36" s="89"/>
      <c r="F36" s="74"/>
      <c r="G36" s="74"/>
      <c r="H36" s="74"/>
      <c r="I36" s="79" t="s">
        <v>34</v>
      </c>
      <c r="J36" s="74"/>
      <c r="K36" s="86">
        <f t="shared" si="15"/>
        <v>0</v>
      </c>
      <c r="L36" s="79" t="s">
        <v>34</v>
      </c>
      <c r="M36" s="79" t="s">
        <v>34</v>
      </c>
      <c r="N36" s="74"/>
      <c r="O36" s="79" t="s">
        <v>34</v>
      </c>
      <c r="P36" s="82">
        <f>N36</f>
        <v>0</v>
      </c>
      <c r="Q36" s="79" t="s">
        <v>34</v>
      </c>
      <c r="R36" s="100"/>
      <c r="S36" s="79" t="s">
        <v>34</v>
      </c>
      <c r="T36" s="79" t="s">
        <v>34</v>
      </c>
      <c r="U36" s="82">
        <f t="shared" si="12"/>
        <v>0</v>
      </c>
      <c r="V36" s="79" t="s">
        <v>34</v>
      </c>
      <c r="W36" s="79" t="s">
        <v>34</v>
      </c>
      <c r="X36" s="78">
        <f t="shared" si="13"/>
        <v>0</v>
      </c>
      <c r="Y36" s="78">
        <f>F36-N36</f>
        <v>0</v>
      </c>
      <c r="Z36" s="48"/>
      <c r="AA36" s="48"/>
      <c r="AB36" s="48"/>
      <c r="AC36" s="48"/>
      <c r="AE36" s="72"/>
    </row>
    <row r="37" spans="1:31">
      <c r="A37" s="101" t="s">
        <v>49</v>
      </c>
      <c r="B37" s="101"/>
      <c r="C37" s="102"/>
      <c r="D37" s="102"/>
      <c r="E37" s="102"/>
      <c r="F37" s="103">
        <f>F38+F44+F49+F51</f>
        <v>0</v>
      </c>
      <c r="G37" s="103">
        <f t="shared" ref="G37:K37" si="19">G38+G44+G49+G51</f>
        <v>0</v>
      </c>
      <c r="H37" s="103">
        <f t="shared" si="19"/>
        <v>0</v>
      </c>
      <c r="I37" s="104" t="s">
        <v>34</v>
      </c>
      <c r="J37" s="103">
        <f t="shared" si="19"/>
        <v>0</v>
      </c>
      <c r="K37" s="103">
        <f t="shared" si="19"/>
        <v>0</v>
      </c>
      <c r="L37" s="104" t="s">
        <v>34</v>
      </c>
      <c r="M37" s="104" t="s">
        <v>34</v>
      </c>
      <c r="N37" s="103">
        <f t="shared" ref="N37" si="20">N38+N44+N49+N51</f>
        <v>0</v>
      </c>
      <c r="O37" s="104" t="s">
        <v>34</v>
      </c>
      <c r="P37" s="103">
        <f t="shared" ref="P37" si="21">P38+P44+P49+P51</f>
        <v>0</v>
      </c>
      <c r="Q37" s="104" t="s">
        <v>34</v>
      </c>
      <c r="R37" s="103">
        <f t="shared" ref="R37" si="22">R38+R44+R49+R51</f>
        <v>0</v>
      </c>
      <c r="S37" s="104" t="s">
        <v>34</v>
      </c>
      <c r="T37" s="104" t="s">
        <v>34</v>
      </c>
      <c r="U37" s="103">
        <f t="shared" ref="U37" si="23">U38+U44+U49+U51</f>
        <v>0</v>
      </c>
      <c r="V37" s="104" t="s">
        <v>34</v>
      </c>
      <c r="W37" s="104" t="s">
        <v>34</v>
      </c>
      <c r="X37" s="103">
        <f t="shared" ref="X37:Y37" si="24">X38+X44+X49+X51</f>
        <v>0</v>
      </c>
      <c r="Y37" s="103">
        <f t="shared" si="24"/>
        <v>0</v>
      </c>
      <c r="Z37" s="57"/>
      <c r="AA37" s="57"/>
      <c r="AB37" s="57"/>
      <c r="AC37" s="57"/>
      <c r="AE37" s="72"/>
    </row>
    <row r="38" spans="1:31" ht="15.6">
      <c r="A38" s="105" t="s">
        <v>28</v>
      </c>
      <c r="B38" s="105" t="s">
        <v>6</v>
      </c>
      <c r="C38" s="102"/>
      <c r="D38" s="102"/>
      <c r="E38" s="102"/>
      <c r="F38" s="103">
        <f>SUMPRODUCT($C$39:$C$43,F39:F43)/1000</f>
        <v>0</v>
      </c>
      <c r="G38" s="103">
        <f>SUMPRODUCT($C$39:$C$43,G39:G43)/1000</f>
        <v>0</v>
      </c>
      <c r="H38" s="103">
        <f>SUMPRODUCT($C$39:$C$43,H39:H43)/1000</f>
        <v>0</v>
      </c>
      <c r="I38" s="104" t="s">
        <v>34</v>
      </c>
      <c r="J38" s="103">
        <f>SUMPRODUCT($C$39:$C$43,J39:J43)/1000</f>
        <v>0</v>
      </c>
      <c r="K38" s="106">
        <f>J38</f>
        <v>0</v>
      </c>
      <c r="L38" s="104" t="s">
        <v>34</v>
      </c>
      <c r="M38" s="104" t="s">
        <v>34</v>
      </c>
      <c r="N38" s="103">
        <f>SUMPRODUCT($C$39:$C$43,N39:N43)/1000</f>
        <v>0</v>
      </c>
      <c r="O38" s="104" t="s">
        <v>34</v>
      </c>
      <c r="P38" s="103">
        <f>N38</f>
        <v>0</v>
      </c>
      <c r="Q38" s="104" t="s">
        <v>34</v>
      </c>
      <c r="R38" s="103">
        <f>SUMPRODUCT($C$39:$C$43,R39:R43)/1000</f>
        <v>0</v>
      </c>
      <c r="S38" s="104" t="s">
        <v>34</v>
      </c>
      <c r="T38" s="104" t="s">
        <v>34</v>
      </c>
      <c r="U38" s="103">
        <f>SUMPRODUCT($C$39:$C$43,U39:U43)/1000</f>
        <v>0</v>
      </c>
      <c r="V38" s="104" t="s">
        <v>34</v>
      </c>
      <c r="W38" s="104" t="s">
        <v>34</v>
      </c>
      <c r="X38" s="103">
        <f>H38+J38-R38</f>
        <v>0</v>
      </c>
      <c r="Y38" s="103">
        <f>F38-N38</f>
        <v>0</v>
      </c>
      <c r="Z38" s="57"/>
      <c r="AA38" s="57"/>
      <c r="AB38" s="57"/>
      <c r="AC38" s="57"/>
      <c r="AE38" s="21"/>
    </row>
    <row r="39" spans="1:31" ht="15.6">
      <c r="A39" s="107" t="s">
        <v>5</v>
      </c>
      <c r="B39" s="107" t="s">
        <v>29</v>
      </c>
      <c r="C39" s="108">
        <f>1.2*QSTBKT!B51</f>
        <v>0</v>
      </c>
      <c r="D39" s="108"/>
      <c r="E39" s="108"/>
      <c r="F39" s="109">
        <f t="shared" ref="F39:H43" si="25">F24</f>
        <v>0</v>
      </c>
      <c r="G39" s="109">
        <f t="shared" si="25"/>
        <v>0</v>
      </c>
      <c r="H39" s="109">
        <f t="shared" si="25"/>
        <v>0</v>
      </c>
      <c r="I39" s="104" t="s">
        <v>34</v>
      </c>
      <c r="J39" s="109">
        <f>J24</f>
        <v>0</v>
      </c>
      <c r="K39" s="106">
        <f>J39</f>
        <v>0</v>
      </c>
      <c r="L39" s="104" t="s">
        <v>34</v>
      </c>
      <c r="M39" s="104" t="s">
        <v>34</v>
      </c>
      <c r="N39" s="109">
        <f>N24</f>
        <v>0</v>
      </c>
      <c r="O39" s="104" t="s">
        <v>34</v>
      </c>
      <c r="P39" s="110"/>
      <c r="Q39" s="104" t="s">
        <v>34</v>
      </c>
      <c r="R39" s="109">
        <f>R24</f>
        <v>0</v>
      </c>
      <c r="S39" s="104" t="s">
        <v>34</v>
      </c>
      <c r="T39" s="104" t="s">
        <v>34</v>
      </c>
      <c r="U39" s="110">
        <f t="shared" ref="U39:U43" si="26">G39+R39-N39</f>
        <v>0</v>
      </c>
      <c r="V39" s="104" t="s">
        <v>34</v>
      </c>
      <c r="W39" s="104" t="s">
        <v>34</v>
      </c>
      <c r="X39" s="103">
        <f t="shared" ref="X39:X51" si="27">H39+J39-R39</f>
        <v>0</v>
      </c>
      <c r="Y39" s="109"/>
      <c r="Z39" s="48"/>
      <c r="AA39" s="48"/>
      <c r="AB39" s="48"/>
      <c r="AC39" s="48"/>
      <c r="AE39" s="21"/>
    </row>
    <row r="40" spans="1:31" ht="15.6">
      <c r="A40" s="111" t="s">
        <v>31</v>
      </c>
      <c r="B40" s="107" t="s">
        <v>29</v>
      </c>
      <c r="C40" s="108">
        <f>0.75*QSTBKT!B51</f>
        <v>0</v>
      </c>
      <c r="D40" s="106"/>
      <c r="E40" s="106"/>
      <c r="F40" s="109">
        <f t="shared" si="25"/>
        <v>0</v>
      </c>
      <c r="G40" s="109">
        <f t="shared" si="25"/>
        <v>0</v>
      </c>
      <c r="H40" s="109">
        <f t="shared" si="25"/>
        <v>0</v>
      </c>
      <c r="I40" s="104" t="s">
        <v>34</v>
      </c>
      <c r="J40" s="109">
        <f>J25</f>
        <v>0</v>
      </c>
      <c r="K40" s="106">
        <f t="shared" ref="K40:K66" si="28">J40</f>
        <v>0</v>
      </c>
      <c r="L40" s="104" t="s">
        <v>34</v>
      </c>
      <c r="M40" s="104" t="s">
        <v>34</v>
      </c>
      <c r="N40" s="109">
        <f t="shared" ref="N40:N43" si="29">N25</f>
        <v>0</v>
      </c>
      <c r="O40" s="104" t="s">
        <v>34</v>
      </c>
      <c r="P40" s="110"/>
      <c r="Q40" s="104" t="s">
        <v>34</v>
      </c>
      <c r="R40" s="109">
        <f>R25</f>
        <v>0</v>
      </c>
      <c r="S40" s="104" t="s">
        <v>34</v>
      </c>
      <c r="T40" s="104" t="s">
        <v>34</v>
      </c>
      <c r="U40" s="110">
        <f t="shared" si="26"/>
        <v>0</v>
      </c>
      <c r="V40" s="104" t="s">
        <v>34</v>
      </c>
      <c r="W40" s="104" t="s">
        <v>34</v>
      </c>
      <c r="X40" s="103">
        <f t="shared" si="27"/>
        <v>0</v>
      </c>
      <c r="Y40" s="109"/>
      <c r="Z40" s="48"/>
      <c r="AA40" s="48"/>
      <c r="AB40" s="48"/>
      <c r="AC40" s="48"/>
      <c r="AE40" s="25"/>
    </row>
    <row r="41" spans="1:31" ht="15.6">
      <c r="A41" s="111" t="s">
        <v>32</v>
      </c>
      <c r="B41" s="108" t="s">
        <v>33</v>
      </c>
      <c r="C41" s="112" t="s">
        <v>34</v>
      </c>
      <c r="D41" s="106"/>
      <c r="E41" s="106"/>
      <c r="F41" s="109" t="str">
        <f t="shared" si="25"/>
        <v>-</v>
      </c>
      <c r="G41" s="109" t="str">
        <f t="shared" si="25"/>
        <v>-</v>
      </c>
      <c r="H41" s="109" t="str">
        <f t="shared" si="25"/>
        <v>-</v>
      </c>
      <c r="I41" s="104" t="s">
        <v>34</v>
      </c>
      <c r="J41" s="109" t="str">
        <f>J26</f>
        <v>-</v>
      </c>
      <c r="K41" s="106" t="str">
        <f t="shared" si="28"/>
        <v>-</v>
      </c>
      <c r="L41" s="104" t="s">
        <v>34</v>
      </c>
      <c r="M41" s="104" t="s">
        <v>34</v>
      </c>
      <c r="N41" s="109" t="str">
        <f t="shared" si="29"/>
        <v>-</v>
      </c>
      <c r="O41" s="104" t="s">
        <v>34</v>
      </c>
      <c r="P41" s="110"/>
      <c r="Q41" s="104" t="s">
        <v>34</v>
      </c>
      <c r="R41" s="109" t="str">
        <f>R26</f>
        <v>-</v>
      </c>
      <c r="S41" s="104" t="s">
        <v>34</v>
      </c>
      <c r="T41" s="104" t="s">
        <v>34</v>
      </c>
      <c r="U41" s="113" t="s">
        <v>34</v>
      </c>
      <c r="V41" s="104" t="s">
        <v>34</v>
      </c>
      <c r="W41" s="104" t="s">
        <v>34</v>
      </c>
      <c r="X41" s="114" t="s">
        <v>34</v>
      </c>
      <c r="Y41" s="109"/>
      <c r="Z41" s="48"/>
      <c r="AA41" s="48"/>
      <c r="AB41" s="48"/>
      <c r="AC41" s="48"/>
      <c r="AE41" s="21"/>
    </row>
    <row r="42" spans="1:31" ht="15.6">
      <c r="A42" s="111" t="s">
        <v>35</v>
      </c>
      <c r="B42" s="108" t="s">
        <v>33</v>
      </c>
      <c r="C42" s="108">
        <f>0.01*2*QSTBKT!B51</f>
        <v>0</v>
      </c>
      <c r="D42" s="106"/>
      <c r="E42" s="106"/>
      <c r="F42" s="109">
        <f t="shared" si="25"/>
        <v>0</v>
      </c>
      <c r="G42" s="109">
        <f t="shared" si="25"/>
        <v>0</v>
      </c>
      <c r="H42" s="109">
        <f t="shared" si="25"/>
        <v>0</v>
      </c>
      <c r="I42" s="104" t="s">
        <v>34</v>
      </c>
      <c r="J42" s="109">
        <f>J27</f>
        <v>0</v>
      </c>
      <c r="K42" s="109">
        <f t="shared" si="28"/>
        <v>0</v>
      </c>
      <c r="L42" s="104" t="s">
        <v>34</v>
      </c>
      <c r="M42" s="104" t="s">
        <v>34</v>
      </c>
      <c r="N42" s="109">
        <f t="shared" si="29"/>
        <v>0</v>
      </c>
      <c r="O42" s="104" t="s">
        <v>34</v>
      </c>
      <c r="P42" s="110"/>
      <c r="Q42" s="104" t="s">
        <v>34</v>
      </c>
      <c r="R42" s="109">
        <f>R27</f>
        <v>0</v>
      </c>
      <c r="S42" s="104" t="s">
        <v>34</v>
      </c>
      <c r="T42" s="104" t="s">
        <v>34</v>
      </c>
      <c r="U42" s="110">
        <f t="shared" si="26"/>
        <v>0</v>
      </c>
      <c r="V42" s="104" t="s">
        <v>34</v>
      </c>
      <c r="W42" s="104" t="s">
        <v>34</v>
      </c>
      <c r="X42" s="103">
        <f t="shared" si="27"/>
        <v>0</v>
      </c>
      <c r="Y42" s="109"/>
      <c r="Z42" s="48"/>
      <c r="AA42" s="48"/>
      <c r="AB42" s="48"/>
      <c r="AC42" s="48"/>
      <c r="AE42" s="25"/>
    </row>
    <row r="43" spans="1:31" ht="15.6">
      <c r="A43" s="115" t="s">
        <v>36</v>
      </c>
      <c r="B43" s="108" t="s">
        <v>33</v>
      </c>
      <c r="C43" s="108">
        <f>0.01*3*QSTBKT!B51</f>
        <v>0</v>
      </c>
      <c r="D43" s="106"/>
      <c r="E43" s="106"/>
      <c r="F43" s="109">
        <f t="shared" si="25"/>
        <v>0</v>
      </c>
      <c r="G43" s="109">
        <f t="shared" si="25"/>
        <v>0</v>
      </c>
      <c r="H43" s="109">
        <f t="shared" si="25"/>
        <v>0</v>
      </c>
      <c r="I43" s="104" t="s">
        <v>34</v>
      </c>
      <c r="J43" s="109">
        <f>J28</f>
        <v>0</v>
      </c>
      <c r="K43" s="109">
        <f t="shared" si="28"/>
        <v>0</v>
      </c>
      <c r="L43" s="104" t="s">
        <v>34</v>
      </c>
      <c r="M43" s="104" t="s">
        <v>34</v>
      </c>
      <c r="N43" s="109">
        <f t="shared" si="29"/>
        <v>0</v>
      </c>
      <c r="O43" s="104" t="s">
        <v>34</v>
      </c>
      <c r="P43" s="110"/>
      <c r="Q43" s="104" t="s">
        <v>34</v>
      </c>
      <c r="R43" s="109">
        <f>R28</f>
        <v>0</v>
      </c>
      <c r="S43" s="104" t="s">
        <v>34</v>
      </c>
      <c r="T43" s="104" t="s">
        <v>34</v>
      </c>
      <c r="U43" s="110">
        <f t="shared" si="26"/>
        <v>0</v>
      </c>
      <c r="V43" s="104" t="s">
        <v>34</v>
      </c>
      <c r="W43" s="104" t="s">
        <v>34</v>
      </c>
      <c r="X43" s="103">
        <f t="shared" si="27"/>
        <v>0</v>
      </c>
      <c r="Y43" s="109"/>
      <c r="Z43" s="48"/>
      <c r="AA43" s="48"/>
      <c r="AB43" s="48"/>
      <c r="AC43" s="48"/>
      <c r="AE43" s="25"/>
    </row>
    <row r="44" spans="1:31" ht="15.6">
      <c r="A44" s="116" t="s">
        <v>37</v>
      </c>
      <c r="B44" s="105" t="s">
        <v>6</v>
      </c>
      <c r="C44" s="102"/>
      <c r="D44" s="103"/>
      <c r="E44" s="103"/>
      <c r="F44" s="103">
        <f>SUMPRODUCT($C$45:$C$48,F45:F48)/1000</f>
        <v>0</v>
      </c>
      <c r="G44" s="103">
        <f>SUMPRODUCT($C$45:$C$48,G45:G48)/1000</f>
        <v>0</v>
      </c>
      <c r="H44" s="103">
        <f>SUMPRODUCT($C$45:$C$48,H45:H48)/1000</f>
        <v>0</v>
      </c>
      <c r="I44" s="104" t="s">
        <v>34</v>
      </c>
      <c r="J44" s="103">
        <f>SUMPRODUCT($C$45:$C$48,J45:J48)/1000</f>
        <v>0</v>
      </c>
      <c r="K44" s="106">
        <f t="shared" si="28"/>
        <v>0</v>
      </c>
      <c r="L44" s="104" t="s">
        <v>34</v>
      </c>
      <c r="M44" s="104" t="s">
        <v>34</v>
      </c>
      <c r="N44" s="103">
        <f>SUMPRODUCT($C$45:$C$48,N45:N48)/1000</f>
        <v>0</v>
      </c>
      <c r="O44" s="104" t="s">
        <v>34</v>
      </c>
      <c r="P44" s="103"/>
      <c r="Q44" s="104" t="s">
        <v>34</v>
      </c>
      <c r="R44" s="103">
        <f>SUMPRODUCT($C$45:$C$48,R45:R48)/1000</f>
        <v>0</v>
      </c>
      <c r="S44" s="104" t="s">
        <v>34</v>
      </c>
      <c r="T44" s="104" t="s">
        <v>34</v>
      </c>
      <c r="U44" s="103">
        <f>SUMPRODUCT($C$45:$C$48,U45:U48)/1000</f>
        <v>0</v>
      </c>
      <c r="V44" s="104" t="s">
        <v>34</v>
      </c>
      <c r="W44" s="104" t="s">
        <v>34</v>
      </c>
      <c r="X44" s="103">
        <f t="shared" si="27"/>
        <v>0</v>
      </c>
      <c r="Y44" s="103">
        <f>F44-N44</f>
        <v>0</v>
      </c>
      <c r="Z44" s="69"/>
      <c r="AA44" s="69"/>
      <c r="AB44" s="69"/>
      <c r="AC44" s="69"/>
      <c r="AE44" s="21"/>
    </row>
    <row r="45" spans="1:31" ht="15.6">
      <c r="A45" s="111" t="s">
        <v>38</v>
      </c>
      <c r="B45" s="111" t="s">
        <v>39</v>
      </c>
      <c r="C45" s="108">
        <v>6</v>
      </c>
      <c r="D45" s="106"/>
      <c r="E45" s="106"/>
      <c r="F45" s="63"/>
      <c r="G45" s="63"/>
      <c r="H45" s="63"/>
      <c r="I45" s="104" t="s">
        <v>34</v>
      </c>
      <c r="J45" s="63"/>
      <c r="K45" s="106">
        <f t="shared" si="28"/>
        <v>0</v>
      </c>
      <c r="L45" s="104" t="s">
        <v>34</v>
      </c>
      <c r="M45" s="104" t="s">
        <v>34</v>
      </c>
      <c r="N45" s="63"/>
      <c r="O45" s="104" t="s">
        <v>34</v>
      </c>
      <c r="P45" s="48"/>
      <c r="Q45" s="104" t="s">
        <v>34</v>
      </c>
      <c r="R45" s="48"/>
      <c r="S45" s="104" t="s">
        <v>34</v>
      </c>
      <c r="T45" s="104" t="s">
        <v>34</v>
      </c>
      <c r="U45" s="48"/>
      <c r="V45" s="104" t="s">
        <v>34</v>
      </c>
      <c r="W45" s="104" t="s">
        <v>34</v>
      </c>
      <c r="X45" s="103">
        <f t="shared" si="27"/>
        <v>0</v>
      </c>
      <c r="Y45" s="109"/>
      <c r="Z45" s="48"/>
      <c r="AA45" s="48"/>
      <c r="AB45" s="48"/>
      <c r="AC45" s="48"/>
      <c r="AE45" s="21"/>
    </row>
    <row r="46" spans="1:31" ht="15.6">
      <c r="A46" s="111" t="s">
        <v>40</v>
      </c>
      <c r="B46" s="111" t="s">
        <v>39</v>
      </c>
      <c r="C46" s="108">
        <v>4</v>
      </c>
      <c r="D46" s="106"/>
      <c r="E46" s="106"/>
      <c r="F46" s="63"/>
      <c r="G46" s="63"/>
      <c r="H46" s="63"/>
      <c r="I46" s="104" t="s">
        <v>34</v>
      </c>
      <c r="J46" s="63"/>
      <c r="K46" s="106">
        <f t="shared" si="28"/>
        <v>0</v>
      </c>
      <c r="L46" s="104" t="s">
        <v>34</v>
      </c>
      <c r="M46" s="104" t="s">
        <v>34</v>
      </c>
      <c r="N46" s="63"/>
      <c r="O46" s="104" t="s">
        <v>34</v>
      </c>
      <c r="P46" s="48"/>
      <c r="Q46" s="104" t="s">
        <v>34</v>
      </c>
      <c r="R46" s="48"/>
      <c r="S46" s="104" t="s">
        <v>34</v>
      </c>
      <c r="T46" s="104" t="s">
        <v>34</v>
      </c>
      <c r="U46" s="48"/>
      <c r="V46" s="104" t="s">
        <v>34</v>
      </c>
      <c r="W46" s="104" t="s">
        <v>34</v>
      </c>
      <c r="X46" s="103">
        <f t="shared" si="27"/>
        <v>0</v>
      </c>
      <c r="Y46" s="109"/>
      <c r="Z46" s="48"/>
      <c r="AA46" s="48"/>
      <c r="AB46" s="48"/>
      <c r="AC46" s="48"/>
      <c r="AE46" s="25"/>
    </row>
    <row r="47" spans="1:31" ht="15.6">
      <c r="A47" s="111" t="s">
        <v>41</v>
      </c>
      <c r="B47" s="111" t="s">
        <v>39</v>
      </c>
      <c r="C47" s="108">
        <v>2</v>
      </c>
      <c r="D47" s="106"/>
      <c r="E47" s="106"/>
      <c r="F47" s="63"/>
      <c r="G47" s="63"/>
      <c r="H47" s="63"/>
      <c r="I47" s="104" t="s">
        <v>34</v>
      </c>
      <c r="J47" s="63"/>
      <c r="K47" s="106">
        <f t="shared" si="28"/>
        <v>0</v>
      </c>
      <c r="L47" s="104" t="s">
        <v>34</v>
      </c>
      <c r="M47" s="104" t="s">
        <v>34</v>
      </c>
      <c r="N47" s="63"/>
      <c r="O47" s="104" t="s">
        <v>34</v>
      </c>
      <c r="P47" s="48"/>
      <c r="Q47" s="104" t="s">
        <v>34</v>
      </c>
      <c r="R47" s="48"/>
      <c r="S47" s="104" t="s">
        <v>34</v>
      </c>
      <c r="T47" s="104" t="s">
        <v>34</v>
      </c>
      <c r="U47" s="48"/>
      <c r="V47" s="104" t="s">
        <v>34</v>
      </c>
      <c r="W47" s="104" t="s">
        <v>34</v>
      </c>
      <c r="X47" s="103">
        <f t="shared" si="27"/>
        <v>0</v>
      </c>
      <c r="Y47" s="109"/>
      <c r="Z47" s="48"/>
      <c r="AA47" s="48"/>
      <c r="AB47" s="48"/>
      <c r="AC47" s="48"/>
      <c r="AE47" s="25"/>
    </row>
    <row r="48" spans="1:31" ht="15.6">
      <c r="A48" s="111" t="s">
        <v>42</v>
      </c>
      <c r="B48" s="111" t="s">
        <v>43</v>
      </c>
      <c r="C48" s="108">
        <f>0.07*QSTBKT!B51</f>
        <v>0</v>
      </c>
      <c r="D48" s="106"/>
      <c r="E48" s="106"/>
      <c r="F48" s="109">
        <f>F33</f>
        <v>0</v>
      </c>
      <c r="G48" s="109">
        <f>G33</f>
        <v>0</v>
      </c>
      <c r="H48" s="109">
        <f>H33</f>
        <v>0</v>
      </c>
      <c r="I48" s="104" t="s">
        <v>34</v>
      </c>
      <c r="J48" s="109">
        <f>J33</f>
        <v>0</v>
      </c>
      <c r="K48" s="106">
        <f t="shared" si="28"/>
        <v>0</v>
      </c>
      <c r="L48" s="104" t="s">
        <v>34</v>
      </c>
      <c r="M48" s="104" t="s">
        <v>34</v>
      </c>
      <c r="N48" s="109">
        <f t="shared" ref="N48:R48" si="30">N33</f>
        <v>0</v>
      </c>
      <c r="O48" s="104" t="s">
        <v>34</v>
      </c>
      <c r="P48" s="109"/>
      <c r="Q48" s="104" t="s">
        <v>34</v>
      </c>
      <c r="R48" s="109">
        <f t="shared" si="30"/>
        <v>0</v>
      </c>
      <c r="S48" s="104" t="s">
        <v>34</v>
      </c>
      <c r="T48" s="104" t="s">
        <v>34</v>
      </c>
      <c r="U48" s="109">
        <f t="shared" ref="U48" si="31">U33</f>
        <v>0</v>
      </c>
      <c r="V48" s="104" t="s">
        <v>34</v>
      </c>
      <c r="W48" s="104" t="s">
        <v>34</v>
      </c>
      <c r="X48" s="103">
        <f t="shared" si="27"/>
        <v>0</v>
      </c>
      <c r="Y48" s="109"/>
      <c r="Z48" s="48"/>
      <c r="AA48" s="48"/>
      <c r="AB48" s="48"/>
      <c r="AC48" s="48"/>
      <c r="AE48" s="21"/>
    </row>
    <row r="49" spans="1:31" ht="15.6">
      <c r="A49" s="116" t="s">
        <v>44</v>
      </c>
      <c r="B49" s="105" t="s">
        <v>6</v>
      </c>
      <c r="C49" s="102"/>
      <c r="D49" s="103"/>
      <c r="E49" s="103"/>
      <c r="F49" s="117">
        <f>F50*$C$50/1000</f>
        <v>0</v>
      </c>
      <c r="G49" s="117">
        <f>G50*$C$50/1000</f>
        <v>0</v>
      </c>
      <c r="H49" s="117">
        <f>H50*$C$50/1000</f>
        <v>0</v>
      </c>
      <c r="I49" s="104" t="s">
        <v>34</v>
      </c>
      <c r="J49" s="117">
        <f>J50*$C$50/1000</f>
        <v>0</v>
      </c>
      <c r="K49" s="106">
        <f t="shared" si="28"/>
        <v>0</v>
      </c>
      <c r="L49" s="104" t="s">
        <v>34</v>
      </c>
      <c r="M49" s="104" t="s">
        <v>34</v>
      </c>
      <c r="N49" s="117">
        <f>N50*$C$50/1000</f>
        <v>0</v>
      </c>
      <c r="O49" s="104" t="s">
        <v>34</v>
      </c>
      <c r="P49" s="117">
        <f>N49</f>
        <v>0</v>
      </c>
      <c r="Q49" s="104" t="s">
        <v>34</v>
      </c>
      <c r="R49" s="117">
        <f>R50*$C$50/1000</f>
        <v>0</v>
      </c>
      <c r="S49" s="104" t="s">
        <v>34</v>
      </c>
      <c r="T49" s="104" t="s">
        <v>34</v>
      </c>
      <c r="U49" s="117">
        <f>U50*$C$50/1000</f>
        <v>0</v>
      </c>
      <c r="V49" s="104" t="s">
        <v>34</v>
      </c>
      <c r="W49" s="104" t="s">
        <v>34</v>
      </c>
      <c r="X49" s="103">
        <f t="shared" si="27"/>
        <v>0</v>
      </c>
      <c r="Y49" s="103">
        <f>F49-N49</f>
        <v>0</v>
      </c>
      <c r="Z49" s="69"/>
      <c r="AA49" s="69"/>
      <c r="AB49" s="69"/>
      <c r="AC49" s="69"/>
      <c r="AE49" s="25"/>
    </row>
    <row r="50" spans="1:31" ht="15.6">
      <c r="A50" s="111" t="s">
        <v>45</v>
      </c>
      <c r="B50" s="111" t="s">
        <v>46</v>
      </c>
      <c r="C50" s="108">
        <f>0.5*QSTBKT!B51/30</f>
        <v>0</v>
      </c>
      <c r="D50" s="106"/>
      <c r="E50" s="106"/>
      <c r="F50" s="109">
        <f>F35</f>
        <v>0</v>
      </c>
      <c r="G50" s="109">
        <f>G35</f>
        <v>0</v>
      </c>
      <c r="H50" s="109">
        <f>H35</f>
        <v>0</v>
      </c>
      <c r="I50" s="104" t="s">
        <v>34</v>
      </c>
      <c r="J50" s="109">
        <f>J35</f>
        <v>0</v>
      </c>
      <c r="K50" s="106">
        <f t="shared" si="28"/>
        <v>0</v>
      </c>
      <c r="L50" s="104" t="s">
        <v>34</v>
      </c>
      <c r="M50" s="104" t="s">
        <v>34</v>
      </c>
      <c r="N50" s="109">
        <f t="shared" ref="N50:R50" si="32">N35</f>
        <v>0</v>
      </c>
      <c r="O50" s="104" t="s">
        <v>34</v>
      </c>
      <c r="P50" s="109"/>
      <c r="Q50" s="104" t="s">
        <v>34</v>
      </c>
      <c r="R50" s="109">
        <f t="shared" si="32"/>
        <v>0</v>
      </c>
      <c r="S50" s="104" t="s">
        <v>34</v>
      </c>
      <c r="T50" s="104" t="s">
        <v>34</v>
      </c>
      <c r="U50" s="109">
        <f t="shared" ref="U50" si="33">U35</f>
        <v>0</v>
      </c>
      <c r="V50" s="104" t="s">
        <v>34</v>
      </c>
      <c r="W50" s="104" t="s">
        <v>34</v>
      </c>
      <c r="X50" s="103">
        <f t="shared" si="27"/>
        <v>0</v>
      </c>
      <c r="Y50" s="109"/>
      <c r="Z50" s="48"/>
      <c r="AA50" s="48"/>
      <c r="AB50" s="48"/>
      <c r="AC50" s="48"/>
      <c r="AE50" s="25"/>
    </row>
    <row r="51" spans="1:31" ht="15.6">
      <c r="A51" s="116" t="s">
        <v>47</v>
      </c>
      <c r="B51" s="105" t="s">
        <v>6</v>
      </c>
      <c r="C51" s="106"/>
      <c r="D51" s="106"/>
      <c r="E51" s="106"/>
      <c r="F51" s="74"/>
      <c r="G51" s="74"/>
      <c r="H51" s="74"/>
      <c r="I51" s="104" t="s">
        <v>34</v>
      </c>
      <c r="J51" s="74"/>
      <c r="K51" s="106">
        <f t="shared" si="28"/>
        <v>0</v>
      </c>
      <c r="L51" s="104" t="s">
        <v>34</v>
      </c>
      <c r="M51" s="104" t="s">
        <v>34</v>
      </c>
      <c r="N51" s="74"/>
      <c r="O51" s="104" t="s">
        <v>34</v>
      </c>
      <c r="P51" s="109">
        <f>N51</f>
        <v>0</v>
      </c>
      <c r="Q51" s="104" t="s">
        <v>34</v>
      </c>
      <c r="R51" s="100"/>
      <c r="S51" s="104" t="s">
        <v>34</v>
      </c>
      <c r="T51" s="104" t="s">
        <v>34</v>
      </c>
      <c r="U51" s="110">
        <f t="shared" ref="U51" si="34">G51+R51-N51</f>
        <v>0</v>
      </c>
      <c r="V51" s="104" t="s">
        <v>34</v>
      </c>
      <c r="W51" s="104" t="s">
        <v>34</v>
      </c>
      <c r="X51" s="103">
        <f t="shared" si="27"/>
        <v>0</v>
      </c>
      <c r="Y51" s="103">
        <f>F51-N51</f>
        <v>0</v>
      </c>
      <c r="Z51" s="48"/>
      <c r="AA51" s="48"/>
      <c r="AB51" s="48"/>
      <c r="AC51" s="48"/>
      <c r="AE51" s="21"/>
    </row>
    <row r="52" spans="1:31" ht="15.6">
      <c r="A52" s="118" t="s">
        <v>50</v>
      </c>
      <c r="B52" s="118"/>
      <c r="C52" s="119"/>
      <c r="D52" s="119"/>
      <c r="E52" s="119"/>
      <c r="F52" s="120">
        <f>F53+F59+F64+F66</f>
        <v>0</v>
      </c>
      <c r="G52" s="120">
        <f t="shared" ref="G52:J52" si="35">G53+G59+G64+G66</f>
        <v>0</v>
      </c>
      <c r="H52" s="120">
        <f t="shared" si="35"/>
        <v>0</v>
      </c>
      <c r="I52" s="121" t="s">
        <v>34</v>
      </c>
      <c r="J52" s="120">
        <f t="shared" si="35"/>
        <v>0</v>
      </c>
      <c r="K52" s="122">
        <f t="shared" si="28"/>
        <v>0</v>
      </c>
      <c r="L52" s="121" t="s">
        <v>34</v>
      </c>
      <c r="M52" s="121" t="s">
        <v>34</v>
      </c>
      <c r="N52" s="120">
        <f t="shared" ref="N52" si="36">N53+N59+N64+N66</f>
        <v>0</v>
      </c>
      <c r="O52" s="121" t="s">
        <v>34</v>
      </c>
      <c r="P52" s="120">
        <f>N52</f>
        <v>0</v>
      </c>
      <c r="Q52" s="121" t="s">
        <v>34</v>
      </c>
      <c r="R52" s="120">
        <f t="shared" ref="R52" si="37">R53+R59+R64+R66</f>
        <v>0</v>
      </c>
      <c r="S52" s="121" t="s">
        <v>34</v>
      </c>
      <c r="T52" s="121" t="s">
        <v>34</v>
      </c>
      <c r="U52" s="120">
        <f t="shared" ref="U52" si="38">U53+U59+U64+U66</f>
        <v>0</v>
      </c>
      <c r="V52" s="121" t="s">
        <v>34</v>
      </c>
      <c r="W52" s="121" t="s">
        <v>34</v>
      </c>
      <c r="X52" s="120">
        <f t="shared" ref="X52:Y52" si="39">X53+X59+X64+X66</f>
        <v>0</v>
      </c>
      <c r="Y52" s="120">
        <f t="shared" si="39"/>
        <v>0</v>
      </c>
      <c r="Z52" s="57"/>
      <c r="AA52" s="57"/>
      <c r="AB52" s="57"/>
      <c r="AC52" s="57"/>
      <c r="AE52" s="25"/>
    </row>
    <row r="53" spans="1:31" ht="15.6">
      <c r="A53" s="123" t="s">
        <v>28</v>
      </c>
      <c r="B53" s="123" t="s">
        <v>6</v>
      </c>
      <c r="C53" s="119"/>
      <c r="D53" s="119"/>
      <c r="E53" s="119"/>
      <c r="F53" s="124">
        <f>SUMPRODUCT($C$54:$C$58,F54:F58)/1000</f>
        <v>0</v>
      </c>
      <c r="G53" s="124">
        <f>SUMPRODUCT($C$54:$C$58,G54:G58)/1000</f>
        <v>0</v>
      </c>
      <c r="H53" s="124">
        <f>SUMPRODUCT($C$54:$C$58,H54:H58)/1000</f>
        <v>0</v>
      </c>
      <c r="I53" s="121" t="s">
        <v>34</v>
      </c>
      <c r="J53" s="124">
        <f>SUMPRODUCT($C$54:$C$58,J54:J58)/1000</f>
        <v>0</v>
      </c>
      <c r="K53" s="122">
        <f t="shared" si="28"/>
        <v>0</v>
      </c>
      <c r="L53" s="121" t="s">
        <v>34</v>
      </c>
      <c r="M53" s="121" t="s">
        <v>34</v>
      </c>
      <c r="N53" s="124">
        <f>SUMPRODUCT($C$54:$C$58,N54:N58)/1000</f>
        <v>0</v>
      </c>
      <c r="O53" s="121" t="s">
        <v>34</v>
      </c>
      <c r="P53" s="120">
        <f>N53</f>
        <v>0</v>
      </c>
      <c r="Q53" s="121" t="s">
        <v>34</v>
      </c>
      <c r="R53" s="125">
        <f>SUMPRODUCT($C$54:$C$58,R54:R58)/1000</f>
        <v>0</v>
      </c>
      <c r="S53" s="121" t="s">
        <v>34</v>
      </c>
      <c r="T53" s="121" t="s">
        <v>34</v>
      </c>
      <c r="U53" s="124">
        <f>SUMPRODUCT($C$54:$C$58,U54:U58)/1000</f>
        <v>0</v>
      </c>
      <c r="V53" s="121" t="s">
        <v>34</v>
      </c>
      <c r="W53" s="121" t="s">
        <v>34</v>
      </c>
      <c r="X53" s="120">
        <f>H53+J53-R53</f>
        <v>0</v>
      </c>
      <c r="Y53" s="120">
        <f>F53-N53</f>
        <v>0</v>
      </c>
      <c r="Z53" s="57"/>
      <c r="AA53" s="57"/>
      <c r="AB53" s="57"/>
      <c r="AC53" s="57"/>
      <c r="AE53" s="25"/>
    </row>
    <row r="54" spans="1:31" ht="15.6">
      <c r="A54" s="126" t="s">
        <v>5</v>
      </c>
      <c r="B54" s="126" t="s">
        <v>29</v>
      </c>
      <c r="C54" s="127">
        <f>1.2*QSTBKT!B62</f>
        <v>0</v>
      </c>
      <c r="D54" s="127"/>
      <c r="E54" s="127"/>
      <c r="F54" s="128">
        <f>F39</f>
        <v>0</v>
      </c>
      <c r="G54" s="128">
        <f>G39</f>
        <v>0</v>
      </c>
      <c r="H54" s="128">
        <f>H39</f>
        <v>0</v>
      </c>
      <c r="I54" s="121" t="s">
        <v>34</v>
      </c>
      <c r="J54" s="128">
        <f>J39</f>
        <v>0</v>
      </c>
      <c r="K54" s="122">
        <f t="shared" si="28"/>
        <v>0</v>
      </c>
      <c r="L54" s="121" t="s">
        <v>34</v>
      </c>
      <c r="M54" s="121" t="s">
        <v>34</v>
      </c>
      <c r="N54" s="128">
        <f>N39</f>
        <v>0</v>
      </c>
      <c r="O54" s="121" t="s">
        <v>34</v>
      </c>
      <c r="P54" s="128"/>
      <c r="Q54" s="121" t="s">
        <v>34</v>
      </c>
      <c r="R54" s="128">
        <f>R39</f>
        <v>0</v>
      </c>
      <c r="S54" s="121" t="s">
        <v>34</v>
      </c>
      <c r="T54" s="121" t="s">
        <v>34</v>
      </c>
      <c r="U54" s="129">
        <f t="shared" ref="U54:U58" si="40">G54+R54-N54</f>
        <v>0</v>
      </c>
      <c r="V54" s="121" t="s">
        <v>34</v>
      </c>
      <c r="W54" s="121" t="s">
        <v>34</v>
      </c>
      <c r="X54" s="120">
        <f t="shared" ref="X54:X66" si="41">H54+J54-R54</f>
        <v>0</v>
      </c>
      <c r="Y54" s="128"/>
      <c r="Z54" s="48"/>
      <c r="AA54" s="48"/>
      <c r="AB54" s="48"/>
      <c r="AC54" s="48"/>
      <c r="AE54" s="21"/>
    </row>
    <row r="55" spans="1:31" ht="15.6">
      <c r="A55" s="130" t="s">
        <v>31</v>
      </c>
      <c r="B55" s="126" t="s">
        <v>29</v>
      </c>
      <c r="C55" s="127">
        <f>0.75*QSTBKT!B62</f>
        <v>0</v>
      </c>
      <c r="D55" s="122"/>
      <c r="E55" s="122"/>
      <c r="F55" s="128">
        <f t="shared" ref="F55:J58" si="42">F40</f>
        <v>0</v>
      </c>
      <c r="G55" s="128">
        <f t="shared" si="42"/>
        <v>0</v>
      </c>
      <c r="H55" s="128">
        <f t="shared" si="42"/>
        <v>0</v>
      </c>
      <c r="I55" s="121" t="s">
        <v>34</v>
      </c>
      <c r="J55" s="128">
        <f t="shared" si="42"/>
        <v>0</v>
      </c>
      <c r="K55" s="122">
        <f t="shared" si="28"/>
        <v>0</v>
      </c>
      <c r="L55" s="121" t="s">
        <v>34</v>
      </c>
      <c r="M55" s="121" t="s">
        <v>34</v>
      </c>
      <c r="N55" s="128">
        <f t="shared" ref="N55:N58" si="43">N40</f>
        <v>0</v>
      </c>
      <c r="O55" s="121" t="s">
        <v>34</v>
      </c>
      <c r="P55" s="128"/>
      <c r="Q55" s="121" t="s">
        <v>34</v>
      </c>
      <c r="R55" s="128">
        <f t="shared" ref="R55:R58" si="44">R40</f>
        <v>0</v>
      </c>
      <c r="S55" s="121" t="s">
        <v>34</v>
      </c>
      <c r="T55" s="121" t="s">
        <v>34</v>
      </c>
      <c r="U55" s="129">
        <f t="shared" si="40"/>
        <v>0</v>
      </c>
      <c r="V55" s="121" t="s">
        <v>34</v>
      </c>
      <c r="W55" s="121" t="s">
        <v>34</v>
      </c>
      <c r="X55" s="120">
        <f t="shared" si="41"/>
        <v>0</v>
      </c>
      <c r="Y55" s="128"/>
      <c r="Z55" s="48"/>
      <c r="AA55" s="48"/>
      <c r="AB55" s="48"/>
      <c r="AC55" s="48"/>
      <c r="AE55" s="25"/>
    </row>
    <row r="56" spans="1:31" ht="15.6">
      <c r="A56" s="130" t="s">
        <v>32</v>
      </c>
      <c r="B56" s="127" t="s">
        <v>33</v>
      </c>
      <c r="C56" s="131" t="s">
        <v>34</v>
      </c>
      <c r="D56" s="122"/>
      <c r="E56" s="122"/>
      <c r="F56" s="128" t="str">
        <f t="shared" si="42"/>
        <v>-</v>
      </c>
      <c r="G56" s="128" t="str">
        <f t="shared" si="42"/>
        <v>-</v>
      </c>
      <c r="H56" s="128" t="str">
        <f t="shared" si="42"/>
        <v>-</v>
      </c>
      <c r="I56" s="121" t="s">
        <v>34</v>
      </c>
      <c r="J56" s="128" t="str">
        <f t="shared" si="42"/>
        <v>-</v>
      </c>
      <c r="K56" s="122" t="str">
        <f t="shared" si="28"/>
        <v>-</v>
      </c>
      <c r="L56" s="121" t="s">
        <v>34</v>
      </c>
      <c r="M56" s="121" t="s">
        <v>34</v>
      </c>
      <c r="N56" s="128" t="str">
        <f t="shared" si="43"/>
        <v>-</v>
      </c>
      <c r="O56" s="121" t="s">
        <v>34</v>
      </c>
      <c r="P56" s="128"/>
      <c r="Q56" s="121" t="s">
        <v>34</v>
      </c>
      <c r="R56" s="128" t="str">
        <f t="shared" si="44"/>
        <v>-</v>
      </c>
      <c r="S56" s="121" t="s">
        <v>34</v>
      </c>
      <c r="T56" s="121" t="s">
        <v>34</v>
      </c>
      <c r="U56" s="132" t="s">
        <v>34</v>
      </c>
      <c r="V56" s="121" t="s">
        <v>34</v>
      </c>
      <c r="W56" s="121" t="s">
        <v>34</v>
      </c>
      <c r="X56" s="133" t="s">
        <v>34</v>
      </c>
      <c r="Y56" s="133" t="s">
        <v>34</v>
      </c>
      <c r="Z56" s="48"/>
      <c r="AA56" s="48"/>
      <c r="AB56" s="48"/>
      <c r="AC56" s="48"/>
      <c r="AE56" s="21"/>
    </row>
    <row r="57" spans="1:31">
      <c r="A57" s="130" t="s">
        <v>35</v>
      </c>
      <c r="B57" s="127" t="s">
        <v>33</v>
      </c>
      <c r="C57" s="127">
        <f>0.01*QSTBKT!B62*2</f>
        <v>0</v>
      </c>
      <c r="D57" s="122"/>
      <c r="E57" s="122"/>
      <c r="F57" s="128">
        <f t="shared" si="42"/>
        <v>0</v>
      </c>
      <c r="G57" s="128">
        <f t="shared" si="42"/>
        <v>0</v>
      </c>
      <c r="H57" s="128">
        <f t="shared" si="42"/>
        <v>0</v>
      </c>
      <c r="I57" s="121" t="s">
        <v>34</v>
      </c>
      <c r="J57" s="128">
        <f t="shared" si="42"/>
        <v>0</v>
      </c>
      <c r="K57" s="122">
        <f t="shared" si="28"/>
        <v>0</v>
      </c>
      <c r="L57" s="121" t="s">
        <v>34</v>
      </c>
      <c r="M57" s="121" t="s">
        <v>34</v>
      </c>
      <c r="N57" s="128">
        <f t="shared" si="43"/>
        <v>0</v>
      </c>
      <c r="O57" s="121" t="s">
        <v>34</v>
      </c>
      <c r="P57" s="128"/>
      <c r="Q57" s="121" t="s">
        <v>34</v>
      </c>
      <c r="R57" s="128">
        <f t="shared" si="44"/>
        <v>0</v>
      </c>
      <c r="S57" s="121" t="s">
        <v>34</v>
      </c>
      <c r="T57" s="121" t="s">
        <v>34</v>
      </c>
      <c r="U57" s="129">
        <f t="shared" si="40"/>
        <v>0</v>
      </c>
      <c r="V57" s="121" t="s">
        <v>34</v>
      </c>
      <c r="W57" s="121" t="s">
        <v>34</v>
      </c>
      <c r="X57" s="120">
        <f t="shared" si="41"/>
        <v>0</v>
      </c>
      <c r="Y57" s="128"/>
      <c r="Z57" s="48"/>
      <c r="AA57" s="48"/>
      <c r="AB57" s="48"/>
      <c r="AC57" s="48"/>
    </row>
    <row r="58" spans="1:31">
      <c r="A58" s="134" t="s">
        <v>36</v>
      </c>
      <c r="B58" s="127" t="s">
        <v>33</v>
      </c>
      <c r="C58" s="127">
        <f>0.01*QSTBKT!B62*3</f>
        <v>0</v>
      </c>
      <c r="D58" s="122"/>
      <c r="E58" s="122"/>
      <c r="F58" s="128">
        <f t="shared" si="42"/>
        <v>0</v>
      </c>
      <c r="G58" s="128">
        <f t="shared" si="42"/>
        <v>0</v>
      </c>
      <c r="H58" s="128">
        <f t="shared" si="42"/>
        <v>0</v>
      </c>
      <c r="I58" s="121" t="s">
        <v>34</v>
      </c>
      <c r="J58" s="128">
        <f t="shared" si="42"/>
        <v>0</v>
      </c>
      <c r="K58" s="122">
        <f t="shared" si="28"/>
        <v>0</v>
      </c>
      <c r="L58" s="121" t="s">
        <v>34</v>
      </c>
      <c r="M58" s="121" t="s">
        <v>34</v>
      </c>
      <c r="N58" s="128">
        <f t="shared" si="43"/>
        <v>0</v>
      </c>
      <c r="O58" s="121" t="s">
        <v>34</v>
      </c>
      <c r="P58" s="128"/>
      <c r="Q58" s="121" t="s">
        <v>34</v>
      </c>
      <c r="R58" s="128">
        <f t="shared" si="44"/>
        <v>0</v>
      </c>
      <c r="S58" s="121" t="s">
        <v>34</v>
      </c>
      <c r="T58" s="121" t="s">
        <v>34</v>
      </c>
      <c r="U58" s="129">
        <f t="shared" si="40"/>
        <v>0</v>
      </c>
      <c r="V58" s="121" t="s">
        <v>34</v>
      </c>
      <c r="W58" s="121" t="s">
        <v>34</v>
      </c>
      <c r="X58" s="120">
        <f t="shared" si="41"/>
        <v>0</v>
      </c>
      <c r="Y58" s="128"/>
      <c r="Z58" s="48"/>
      <c r="AA58" s="48"/>
      <c r="AB58" s="48"/>
      <c r="AC58" s="48"/>
    </row>
    <row r="59" spans="1:31">
      <c r="A59" s="135" t="s">
        <v>37</v>
      </c>
      <c r="B59" s="123" t="s">
        <v>6</v>
      </c>
      <c r="C59" s="119"/>
      <c r="D59" s="120"/>
      <c r="E59" s="120"/>
      <c r="F59" s="136">
        <f>SUMPRODUCT($C$60:$C$63,F60:F63)/1000</f>
        <v>0</v>
      </c>
      <c r="G59" s="136">
        <f>SUMPRODUCT($C$60:$C$63,G60:G63)/1000</f>
        <v>0</v>
      </c>
      <c r="H59" s="136">
        <f>SUMPRODUCT($C$60:$C$63,H60:H63)/1000</f>
        <v>0</v>
      </c>
      <c r="I59" s="121" t="s">
        <v>34</v>
      </c>
      <c r="J59" s="136">
        <f>SUMPRODUCT($C$60:$C$63,J60:J63)/1000</f>
        <v>0</v>
      </c>
      <c r="K59" s="122">
        <f t="shared" si="28"/>
        <v>0</v>
      </c>
      <c r="L59" s="121" t="s">
        <v>34</v>
      </c>
      <c r="M59" s="121" t="s">
        <v>34</v>
      </c>
      <c r="N59" s="136">
        <f>SUMPRODUCT($C$60:$C$63,N60:N63)/1000</f>
        <v>0</v>
      </c>
      <c r="O59" s="121" t="s">
        <v>34</v>
      </c>
      <c r="P59" s="120">
        <f>N59</f>
        <v>0</v>
      </c>
      <c r="Q59" s="121" t="s">
        <v>34</v>
      </c>
      <c r="R59" s="136">
        <f>SUMPRODUCT($C$60:$C$63,R60:R63)/1000</f>
        <v>0</v>
      </c>
      <c r="S59" s="121" t="s">
        <v>34</v>
      </c>
      <c r="T59" s="121" t="s">
        <v>34</v>
      </c>
      <c r="U59" s="136">
        <f>SUMPRODUCT($C$60:$C$63,U60:U63)/1000</f>
        <v>0</v>
      </c>
      <c r="V59" s="121" t="s">
        <v>34</v>
      </c>
      <c r="W59" s="121" t="s">
        <v>34</v>
      </c>
      <c r="X59" s="120">
        <f t="shared" si="41"/>
        <v>0</v>
      </c>
      <c r="Y59" s="120">
        <f>F59-N59</f>
        <v>0</v>
      </c>
      <c r="Z59" s="69"/>
      <c r="AA59" s="69"/>
      <c r="AB59" s="69"/>
      <c r="AC59" s="69"/>
    </row>
    <row r="60" spans="1:31">
      <c r="A60" s="130" t="s">
        <v>38</v>
      </c>
      <c r="B60" s="130" t="s">
        <v>39</v>
      </c>
      <c r="C60" s="127">
        <v>6</v>
      </c>
      <c r="D60" s="122"/>
      <c r="E60" s="122"/>
      <c r="F60" s="63"/>
      <c r="G60" s="63"/>
      <c r="H60" s="63"/>
      <c r="I60" s="121" t="s">
        <v>34</v>
      </c>
      <c r="J60" s="63"/>
      <c r="K60" s="122">
        <f t="shared" si="28"/>
        <v>0</v>
      </c>
      <c r="L60" s="121" t="s">
        <v>34</v>
      </c>
      <c r="M60" s="121" t="s">
        <v>34</v>
      </c>
      <c r="N60" s="63"/>
      <c r="O60" s="121" t="s">
        <v>34</v>
      </c>
      <c r="P60" s="128"/>
      <c r="Q60" s="121" t="s">
        <v>34</v>
      </c>
      <c r="R60" s="48"/>
      <c r="S60" s="121" t="s">
        <v>34</v>
      </c>
      <c r="T60" s="121" t="s">
        <v>34</v>
      </c>
      <c r="U60" s="48"/>
      <c r="V60" s="121" t="s">
        <v>34</v>
      </c>
      <c r="W60" s="121" t="s">
        <v>34</v>
      </c>
      <c r="X60" s="120">
        <f t="shared" si="41"/>
        <v>0</v>
      </c>
      <c r="Y60" s="128"/>
      <c r="Z60" s="48"/>
      <c r="AA60" s="48"/>
      <c r="AB60" s="48"/>
      <c r="AC60" s="48"/>
    </row>
    <row r="61" spans="1:31">
      <c r="A61" s="130" t="s">
        <v>40</v>
      </c>
      <c r="B61" s="130" t="s">
        <v>39</v>
      </c>
      <c r="C61" s="127">
        <v>4</v>
      </c>
      <c r="D61" s="122"/>
      <c r="E61" s="122"/>
      <c r="F61" s="63"/>
      <c r="G61" s="63"/>
      <c r="H61" s="63"/>
      <c r="I61" s="121" t="s">
        <v>34</v>
      </c>
      <c r="J61" s="63"/>
      <c r="K61" s="122">
        <f t="shared" si="28"/>
        <v>0</v>
      </c>
      <c r="L61" s="121" t="s">
        <v>34</v>
      </c>
      <c r="M61" s="121" t="s">
        <v>34</v>
      </c>
      <c r="N61" s="63"/>
      <c r="O61" s="121" t="s">
        <v>34</v>
      </c>
      <c r="P61" s="128"/>
      <c r="Q61" s="121" t="s">
        <v>34</v>
      </c>
      <c r="R61" s="48"/>
      <c r="S61" s="121" t="s">
        <v>34</v>
      </c>
      <c r="T61" s="121" t="s">
        <v>34</v>
      </c>
      <c r="U61" s="48"/>
      <c r="V61" s="121" t="s">
        <v>34</v>
      </c>
      <c r="W61" s="121" t="s">
        <v>34</v>
      </c>
      <c r="X61" s="120">
        <f t="shared" si="41"/>
        <v>0</v>
      </c>
      <c r="Y61" s="128"/>
      <c r="Z61" s="48"/>
      <c r="AA61" s="48"/>
      <c r="AB61" s="48"/>
      <c r="AC61" s="48"/>
    </row>
    <row r="62" spans="1:31">
      <c r="A62" s="130" t="s">
        <v>41</v>
      </c>
      <c r="B62" s="130" t="s">
        <v>39</v>
      </c>
      <c r="C62" s="127">
        <v>2</v>
      </c>
      <c r="D62" s="122"/>
      <c r="E62" s="122"/>
      <c r="F62" s="63"/>
      <c r="G62" s="63"/>
      <c r="H62" s="63"/>
      <c r="I62" s="121" t="s">
        <v>34</v>
      </c>
      <c r="J62" s="63"/>
      <c r="K62" s="122">
        <f t="shared" si="28"/>
        <v>0</v>
      </c>
      <c r="L62" s="121" t="s">
        <v>34</v>
      </c>
      <c r="M62" s="121" t="s">
        <v>34</v>
      </c>
      <c r="N62" s="63"/>
      <c r="O62" s="121" t="s">
        <v>34</v>
      </c>
      <c r="P62" s="128"/>
      <c r="Q62" s="121" t="s">
        <v>34</v>
      </c>
      <c r="R62" s="48"/>
      <c r="S62" s="121" t="s">
        <v>34</v>
      </c>
      <c r="T62" s="121" t="s">
        <v>34</v>
      </c>
      <c r="U62" s="48"/>
      <c r="V62" s="121" t="s">
        <v>34</v>
      </c>
      <c r="W62" s="121" t="s">
        <v>34</v>
      </c>
      <c r="X62" s="120">
        <f t="shared" si="41"/>
        <v>0</v>
      </c>
      <c r="Y62" s="128"/>
      <c r="Z62" s="48"/>
      <c r="AA62" s="48"/>
      <c r="AB62" s="48"/>
      <c r="AC62" s="48"/>
    </row>
    <row r="63" spans="1:31">
      <c r="A63" s="130" t="s">
        <v>42</v>
      </c>
      <c r="B63" s="130" t="s">
        <v>43</v>
      </c>
      <c r="C63" s="127">
        <f>0.07*QSTBKT!B62</f>
        <v>0</v>
      </c>
      <c r="D63" s="122"/>
      <c r="E63" s="122"/>
      <c r="F63" s="128">
        <f>F48</f>
        <v>0</v>
      </c>
      <c r="G63" s="128">
        <f>G48</f>
        <v>0</v>
      </c>
      <c r="H63" s="128">
        <f>H48</f>
        <v>0</v>
      </c>
      <c r="I63" s="121" t="s">
        <v>34</v>
      </c>
      <c r="J63" s="128">
        <f>J48</f>
        <v>0</v>
      </c>
      <c r="K63" s="122">
        <f t="shared" si="28"/>
        <v>0</v>
      </c>
      <c r="L63" s="121" t="s">
        <v>34</v>
      </c>
      <c r="M63" s="121" t="s">
        <v>34</v>
      </c>
      <c r="N63" s="128">
        <f t="shared" ref="N63" si="45">N48</f>
        <v>0</v>
      </c>
      <c r="O63" s="121" t="s">
        <v>34</v>
      </c>
      <c r="P63" s="128"/>
      <c r="Q63" s="121" t="s">
        <v>34</v>
      </c>
      <c r="R63" s="128">
        <f>R48</f>
        <v>0</v>
      </c>
      <c r="S63" s="121" t="s">
        <v>34</v>
      </c>
      <c r="T63" s="121" t="s">
        <v>34</v>
      </c>
      <c r="U63" s="129">
        <f t="shared" ref="U63:U66" si="46">G63+R63-N63</f>
        <v>0</v>
      </c>
      <c r="V63" s="121" t="s">
        <v>34</v>
      </c>
      <c r="W63" s="121" t="s">
        <v>34</v>
      </c>
      <c r="X63" s="120">
        <f t="shared" si="41"/>
        <v>0</v>
      </c>
      <c r="Y63" s="128"/>
      <c r="Z63" s="48"/>
      <c r="AA63" s="48"/>
      <c r="AB63" s="48"/>
      <c r="AC63" s="48"/>
    </row>
    <row r="64" spans="1:31">
      <c r="A64" s="135" t="s">
        <v>44</v>
      </c>
      <c r="B64" s="123" t="s">
        <v>6</v>
      </c>
      <c r="C64" s="119"/>
      <c r="D64" s="120"/>
      <c r="E64" s="120"/>
      <c r="F64" s="136">
        <f>F65*$C$65/1000</f>
        <v>0</v>
      </c>
      <c r="G64" s="136">
        <f>G65*$C$65/1000</f>
        <v>0</v>
      </c>
      <c r="H64" s="136">
        <f>H65*$C$65/1000</f>
        <v>0</v>
      </c>
      <c r="I64" s="121" t="s">
        <v>34</v>
      </c>
      <c r="J64" s="136">
        <f>J65*$C$65/1000</f>
        <v>0</v>
      </c>
      <c r="K64" s="122">
        <f t="shared" si="28"/>
        <v>0</v>
      </c>
      <c r="L64" s="121" t="s">
        <v>34</v>
      </c>
      <c r="M64" s="121" t="s">
        <v>34</v>
      </c>
      <c r="N64" s="136">
        <f>N65*$C$65/1000</f>
        <v>0</v>
      </c>
      <c r="O64" s="121" t="s">
        <v>34</v>
      </c>
      <c r="P64" s="120">
        <f>N64</f>
        <v>0</v>
      </c>
      <c r="Q64" s="121" t="s">
        <v>34</v>
      </c>
      <c r="R64" s="136">
        <f>R65*$C$65/1000</f>
        <v>0</v>
      </c>
      <c r="S64" s="121" t="s">
        <v>34</v>
      </c>
      <c r="T64" s="121" t="s">
        <v>34</v>
      </c>
      <c r="U64" s="136">
        <f>U65*$C$65/1000</f>
        <v>0</v>
      </c>
      <c r="V64" s="121" t="s">
        <v>34</v>
      </c>
      <c r="W64" s="121" t="s">
        <v>34</v>
      </c>
      <c r="X64" s="120">
        <f t="shared" si="41"/>
        <v>0</v>
      </c>
      <c r="Y64" s="120">
        <f>F64-N64</f>
        <v>0</v>
      </c>
      <c r="Z64" s="69"/>
      <c r="AA64" s="69"/>
      <c r="AB64" s="69"/>
      <c r="AC64" s="69"/>
    </row>
    <row r="65" spans="1:29">
      <c r="A65" s="130" t="s">
        <v>45</v>
      </c>
      <c r="B65" s="130" t="s">
        <v>46</v>
      </c>
      <c r="C65" s="127">
        <f>0.5*QSTBKT!B62/30</f>
        <v>0</v>
      </c>
      <c r="D65" s="122"/>
      <c r="E65" s="122"/>
      <c r="F65" s="128">
        <f>F50</f>
        <v>0</v>
      </c>
      <c r="G65" s="128">
        <f>G50</f>
        <v>0</v>
      </c>
      <c r="H65" s="128">
        <f>H50</f>
        <v>0</v>
      </c>
      <c r="I65" s="121" t="s">
        <v>34</v>
      </c>
      <c r="J65" s="128">
        <f>J50</f>
        <v>0</v>
      </c>
      <c r="K65" s="122">
        <f t="shared" si="28"/>
        <v>0</v>
      </c>
      <c r="L65" s="121" t="s">
        <v>34</v>
      </c>
      <c r="M65" s="121" t="s">
        <v>34</v>
      </c>
      <c r="N65" s="128">
        <f t="shared" ref="N65" si="47">N50</f>
        <v>0</v>
      </c>
      <c r="O65" s="121" t="s">
        <v>34</v>
      </c>
      <c r="P65" s="128"/>
      <c r="Q65" s="121" t="s">
        <v>34</v>
      </c>
      <c r="R65" s="128">
        <f>R50</f>
        <v>0</v>
      </c>
      <c r="S65" s="121" t="s">
        <v>34</v>
      </c>
      <c r="T65" s="121" t="s">
        <v>34</v>
      </c>
      <c r="U65" s="129">
        <f t="shared" si="46"/>
        <v>0</v>
      </c>
      <c r="V65" s="121" t="s">
        <v>34</v>
      </c>
      <c r="W65" s="121" t="s">
        <v>34</v>
      </c>
      <c r="X65" s="120">
        <f t="shared" si="41"/>
        <v>0</v>
      </c>
      <c r="Y65" s="128"/>
      <c r="Z65" s="48"/>
      <c r="AA65" s="48"/>
      <c r="AB65" s="48"/>
      <c r="AC65" s="48"/>
    </row>
    <row r="66" spans="1:29">
      <c r="A66" s="135" t="s">
        <v>47</v>
      </c>
      <c r="B66" s="123" t="s">
        <v>6</v>
      </c>
      <c r="C66" s="122"/>
      <c r="D66" s="137"/>
      <c r="E66" s="122"/>
      <c r="F66" s="74"/>
      <c r="G66" s="74"/>
      <c r="H66" s="74"/>
      <c r="I66" s="121" t="s">
        <v>34</v>
      </c>
      <c r="J66" s="74"/>
      <c r="K66" s="122">
        <f t="shared" si="28"/>
        <v>0</v>
      </c>
      <c r="L66" s="121" t="s">
        <v>34</v>
      </c>
      <c r="M66" s="121" t="s">
        <v>34</v>
      </c>
      <c r="N66" s="74"/>
      <c r="O66" s="121" t="s">
        <v>34</v>
      </c>
      <c r="P66" s="129">
        <f>N66</f>
        <v>0</v>
      </c>
      <c r="Q66" s="121" t="s">
        <v>34</v>
      </c>
      <c r="R66" s="100"/>
      <c r="S66" s="121" t="s">
        <v>34</v>
      </c>
      <c r="T66" s="121" t="s">
        <v>34</v>
      </c>
      <c r="U66" s="129">
        <f t="shared" si="46"/>
        <v>0</v>
      </c>
      <c r="V66" s="121" t="s">
        <v>34</v>
      </c>
      <c r="W66" s="121" t="s">
        <v>34</v>
      </c>
      <c r="X66" s="120">
        <f t="shared" si="41"/>
        <v>0</v>
      </c>
      <c r="Y66" s="120">
        <f>F66-N66</f>
        <v>0</v>
      </c>
      <c r="Z66" s="48"/>
      <c r="AA66" s="48"/>
      <c r="AB66" s="48"/>
      <c r="AC66" s="48"/>
    </row>
    <row r="67" spans="1:29">
      <c r="A67" s="138" t="s">
        <v>51</v>
      </c>
      <c r="B67" s="138"/>
      <c r="C67" s="139"/>
      <c r="D67" s="139"/>
      <c r="E67" s="139"/>
      <c r="F67" s="140">
        <f>F68+F74+F79+F81</f>
        <v>0</v>
      </c>
      <c r="G67" s="140">
        <f t="shared" ref="G67:K67" si="48">G68+G74+G79+G81</f>
        <v>0</v>
      </c>
      <c r="H67" s="140">
        <f t="shared" si="48"/>
        <v>0</v>
      </c>
      <c r="I67" s="141" t="s">
        <v>34</v>
      </c>
      <c r="J67" s="140">
        <f t="shared" si="48"/>
        <v>0</v>
      </c>
      <c r="K67" s="140">
        <f t="shared" si="48"/>
        <v>0</v>
      </c>
      <c r="L67" s="141" t="s">
        <v>34</v>
      </c>
      <c r="M67" s="141" t="s">
        <v>34</v>
      </c>
      <c r="N67" s="140">
        <f t="shared" ref="N67:P67" si="49">N68+N74+N79+N81</f>
        <v>0</v>
      </c>
      <c r="O67" s="140">
        <f t="shared" si="49"/>
        <v>0</v>
      </c>
      <c r="P67" s="140">
        <f t="shared" si="49"/>
        <v>0</v>
      </c>
      <c r="Q67" s="141" t="s">
        <v>34</v>
      </c>
      <c r="R67" s="140">
        <f t="shared" ref="R67" si="50">R68+R74+R79+R81</f>
        <v>0</v>
      </c>
      <c r="S67" s="141" t="s">
        <v>34</v>
      </c>
      <c r="T67" s="141" t="s">
        <v>34</v>
      </c>
      <c r="U67" s="140">
        <f t="shared" ref="U67" si="51">U68+U74+U79+U81</f>
        <v>0</v>
      </c>
      <c r="V67" s="140">
        <f>V68+V74+V79</f>
        <v>0</v>
      </c>
      <c r="W67" s="141" t="s">
        <v>34</v>
      </c>
      <c r="X67" s="140">
        <f t="shared" ref="X67:Y67" si="52">X68+X74+X79+X81</f>
        <v>0</v>
      </c>
      <c r="Y67" s="140">
        <f t="shared" si="52"/>
        <v>0</v>
      </c>
      <c r="Z67" s="57"/>
      <c r="AA67" s="57"/>
      <c r="AB67" s="57"/>
      <c r="AC67" s="57"/>
    </row>
    <row r="68" spans="1:29">
      <c r="A68" s="142" t="s">
        <v>28</v>
      </c>
      <c r="B68" s="142" t="s">
        <v>6</v>
      </c>
      <c r="C68" s="139"/>
      <c r="D68" s="139"/>
      <c r="E68" s="139"/>
      <c r="F68" s="140">
        <f>SUMPRODUCT($C$69:$C$73,F69:F73)/1000</f>
        <v>0</v>
      </c>
      <c r="G68" s="140">
        <f t="shared" ref="G68:K68" si="53">SUMPRODUCT($C$69:$C$73,G69:G73)/1000</f>
        <v>0</v>
      </c>
      <c r="H68" s="140">
        <f t="shared" si="53"/>
        <v>0</v>
      </c>
      <c r="I68" s="141" t="s">
        <v>34</v>
      </c>
      <c r="J68" s="140">
        <f t="shared" si="53"/>
        <v>0</v>
      </c>
      <c r="K68" s="140">
        <f t="shared" si="53"/>
        <v>0</v>
      </c>
      <c r="L68" s="141" t="s">
        <v>34</v>
      </c>
      <c r="M68" s="141" t="s">
        <v>34</v>
      </c>
      <c r="N68" s="140">
        <f t="shared" ref="N68:O68" si="54">SUMPRODUCT($C$69:$C$73,N69:N73)/1000</f>
        <v>0</v>
      </c>
      <c r="O68" s="140">
        <f t="shared" si="54"/>
        <v>0</v>
      </c>
      <c r="P68" s="140">
        <f>O68+N68</f>
        <v>0</v>
      </c>
      <c r="Q68" s="141" t="s">
        <v>34</v>
      </c>
      <c r="R68" s="140">
        <f t="shared" ref="R68" si="55">SUMPRODUCT($C$69:$C$73,R69:R73)/1000</f>
        <v>0</v>
      </c>
      <c r="S68" s="141" t="s">
        <v>34</v>
      </c>
      <c r="T68" s="141" t="s">
        <v>34</v>
      </c>
      <c r="U68" s="140">
        <f>SUMPRODUCT($E$69:$E$73,U69:U73)/1000</f>
        <v>0</v>
      </c>
      <c r="V68" s="140">
        <f t="shared" ref="V68:V81" si="56">V8</f>
        <v>0</v>
      </c>
      <c r="W68" s="141" t="s">
        <v>34</v>
      </c>
      <c r="X68" s="140">
        <f t="shared" ref="X68:X80" si="57">X8</f>
        <v>0</v>
      </c>
      <c r="Y68" s="140">
        <f>F68-N68</f>
        <v>0</v>
      </c>
      <c r="Z68" s="80"/>
      <c r="AA68" s="57"/>
      <c r="AB68" s="57"/>
      <c r="AC68" s="57"/>
    </row>
    <row r="69" spans="1:29">
      <c r="A69" s="143" t="s">
        <v>5</v>
      </c>
      <c r="B69" s="143" t="s">
        <v>29</v>
      </c>
      <c r="C69" s="144">
        <f>C9-C24-C39-C54</f>
        <v>0</v>
      </c>
      <c r="D69" s="144">
        <f>1.2*QSTBKT!B68</f>
        <v>0</v>
      </c>
      <c r="E69" s="144">
        <f>1.2*QSTBKT!B70</f>
        <v>0</v>
      </c>
      <c r="F69" s="145">
        <f>F9</f>
        <v>0</v>
      </c>
      <c r="G69" s="145">
        <f>G9</f>
        <v>0</v>
      </c>
      <c r="H69" s="145">
        <f>H9</f>
        <v>0</v>
      </c>
      <c r="I69" s="141" t="s">
        <v>34</v>
      </c>
      <c r="J69" s="145">
        <f>J9</f>
        <v>0</v>
      </c>
      <c r="K69" s="146">
        <f>J69</f>
        <v>0</v>
      </c>
      <c r="L69" s="141" t="s">
        <v>34</v>
      </c>
      <c r="M69" s="141" t="s">
        <v>34</v>
      </c>
      <c r="N69" s="145">
        <f>N9</f>
        <v>0</v>
      </c>
      <c r="O69" s="145">
        <f t="shared" ref="O69:O81" si="58">O9</f>
        <v>3</v>
      </c>
      <c r="P69" s="145"/>
      <c r="Q69" s="141" t="s">
        <v>34</v>
      </c>
      <c r="R69" s="145">
        <f>R9</f>
        <v>0</v>
      </c>
      <c r="S69" s="141" t="s">
        <v>34</v>
      </c>
      <c r="T69" s="141" t="s">
        <v>34</v>
      </c>
      <c r="U69" s="145">
        <f>U9</f>
        <v>0</v>
      </c>
      <c r="V69" s="145">
        <f t="shared" si="56"/>
        <v>-3</v>
      </c>
      <c r="W69" s="141" t="s">
        <v>34</v>
      </c>
      <c r="X69" s="140">
        <f t="shared" si="57"/>
        <v>0</v>
      </c>
      <c r="Y69" s="145"/>
      <c r="Z69" s="63"/>
      <c r="AA69" s="48"/>
      <c r="AB69" s="48"/>
      <c r="AC69" s="48"/>
    </row>
    <row r="70" spans="1:29">
      <c r="A70" s="147" t="s">
        <v>31</v>
      </c>
      <c r="B70" s="143" t="s">
        <v>29</v>
      </c>
      <c r="C70" s="144">
        <f t="shared" ref="C70:C80" si="59">C10-C25-C40-C55</f>
        <v>0</v>
      </c>
      <c r="D70" s="144">
        <f>0.75*QSTBKT!B68</f>
        <v>0</v>
      </c>
      <c r="E70" s="144">
        <f>0.75*QSTBKT!B70</f>
        <v>0</v>
      </c>
      <c r="F70" s="145">
        <f t="shared" ref="D70:H73" si="60">F10</f>
        <v>0</v>
      </c>
      <c r="G70" s="145">
        <f t="shared" si="60"/>
        <v>0</v>
      </c>
      <c r="H70" s="145">
        <f t="shared" si="60"/>
        <v>0</v>
      </c>
      <c r="I70" s="141" t="s">
        <v>34</v>
      </c>
      <c r="J70" s="145">
        <f>J10</f>
        <v>0</v>
      </c>
      <c r="K70" s="146">
        <f t="shared" ref="K70:K73" si="61">J70</f>
        <v>0</v>
      </c>
      <c r="L70" s="141" t="s">
        <v>34</v>
      </c>
      <c r="M70" s="141" t="s">
        <v>34</v>
      </c>
      <c r="N70" s="145">
        <f t="shared" ref="N70:N75" si="62">N10</f>
        <v>0</v>
      </c>
      <c r="O70" s="145">
        <f t="shared" si="58"/>
        <v>1</v>
      </c>
      <c r="P70" s="145"/>
      <c r="Q70" s="141" t="s">
        <v>34</v>
      </c>
      <c r="R70" s="145">
        <f>R10</f>
        <v>0</v>
      </c>
      <c r="S70" s="141" t="s">
        <v>34</v>
      </c>
      <c r="T70" s="141" t="s">
        <v>34</v>
      </c>
      <c r="U70" s="145">
        <f>U10</f>
        <v>0</v>
      </c>
      <c r="V70" s="145">
        <f t="shared" si="56"/>
        <v>-1</v>
      </c>
      <c r="W70" s="141" t="s">
        <v>34</v>
      </c>
      <c r="X70" s="140">
        <f t="shared" si="57"/>
        <v>0</v>
      </c>
      <c r="Y70" s="145"/>
      <c r="Z70" s="63"/>
      <c r="AA70" s="48"/>
      <c r="AB70" s="48"/>
      <c r="AC70" s="48"/>
    </row>
    <row r="71" spans="1:29">
      <c r="A71" s="147" t="s">
        <v>32</v>
      </c>
      <c r="B71" s="144" t="s">
        <v>33</v>
      </c>
      <c r="C71" s="144">
        <f>C11</f>
        <v>0</v>
      </c>
      <c r="D71" s="148">
        <f t="shared" si="60"/>
        <v>0</v>
      </c>
      <c r="E71" s="148">
        <f t="shared" si="60"/>
        <v>0</v>
      </c>
      <c r="F71" s="145">
        <f t="shared" si="60"/>
        <v>0</v>
      </c>
      <c r="G71" s="145">
        <f t="shared" si="60"/>
        <v>0</v>
      </c>
      <c r="H71" s="145">
        <f t="shared" si="60"/>
        <v>0</v>
      </c>
      <c r="I71" s="141" t="s">
        <v>34</v>
      </c>
      <c r="J71" s="145">
        <f>J11</f>
        <v>0</v>
      </c>
      <c r="K71" s="146">
        <f t="shared" si="61"/>
        <v>0</v>
      </c>
      <c r="L71" s="141" t="s">
        <v>34</v>
      </c>
      <c r="M71" s="141" t="s">
        <v>34</v>
      </c>
      <c r="N71" s="145">
        <f t="shared" si="62"/>
        <v>0</v>
      </c>
      <c r="O71" s="145">
        <f t="shared" si="58"/>
        <v>0</v>
      </c>
      <c r="P71" s="145"/>
      <c r="Q71" s="141" t="s">
        <v>34</v>
      </c>
      <c r="R71" s="145">
        <f>R11</f>
        <v>0</v>
      </c>
      <c r="S71" s="141" t="s">
        <v>34</v>
      </c>
      <c r="T71" s="141" t="s">
        <v>34</v>
      </c>
      <c r="U71" s="145">
        <f>U11</f>
        <v>0</v>
      </c>
      <c r="V71" s="145" t="str">
        <f t="shared" si="56"/>
        <v>-</v>
      </c>
      <c r="W71" s="141" t="s">
        <v>34</v>
      </c>
      <c r="X71" s="140">
        <f t="shared" si="57"/>
        <v>0</v>
      </c>
      <c r="Y71" s="145"/>
      <c r="Z71" s="63"/>
      <c r="AA71" s="48"/>
      <c r="AB71" s="48"/>
      <c r="AC71" s="48"/>
    </row>
    <row r="72" spans="1:29">
      <c r="A72" s="147" t="s">
        <v>35</v>
      </c>
      <c r="B72" s="144" t="s">
        <v>33</v>
      </c>
      <c r="C72" s="144">
        <f t="shared" si="59"/>
        <v>0</v>
      </c>
      <c r="D72" s="144">
        <f>0.01*QSTBKT!B68*2</f>
        <v>0</v>
      </c>
      <c r="E72" s="144">
        <f>0.01*QSTBKT!B70*2</f>
        <v>0</v>
      </c>
      <c r="F72" s="145">
        <f t="shared" si="60"/>
        <v>0</v>
      </c>
      <c r="G72" s="145">
        <f t="shared" si="60"/>
        <v>0</v>
      </c>
      <c r="H72" s="145">
        <f t="shared" si="60"/>
        <v>0</v>
      </c>
      <c r="I72" s="141" t="s">
        <v>34</v>
      </c>
      <c r="J72" s="145">
        <f>J12</f>
        <v>0</v>
      </c>
      <c r="K72" s="140">
        <f t="shared" si="61"/>
        <v>0</v>
      </c>
      <c r="L72" s="141" t="s">
        <v>34</v>
      </c>
      <c r="M72" s="141" t="s">
        <v>34</v>
      </c>
      <c r="N72" s="145">
        <f t="shared" si="62"/>
        <v>0</v>
      </c>
      <c r="O72" s="145">
        <f t="shared" si="58"/>
        <v>100</v>
      </c>
      <c r="P72" s="145"/>
      <c r="Q72" s="141" t="s">
        <v>34</v>
      </c>
      <c r="R72" s="145">
        <f>R12</f>
        <v>0</v>
      </c>
      <c r="S72" s="141" t="s">
        <v>34</v>
      </c>
      <c r="T72" s="141" t="s">
        <v>34</v>
      </c>
      <c r="U72" s="145">
        <f>U12</f>
        <v>0</v>
      </c>
      <c r="V72" s="145">
        <f t="shared" si="56"/>
        <v>-100</v>
      </c>
      <c r="W72" s="141" t="s">
        <v>34</v>
      </c>
      <c r="X72" s="140">
        <f t="shared" si="57"/>
        <v>0</v>
      </c>
      <c r="Y72" s="145"/>
      <c r="Z72" s="63"/>
      <c r="AA72" s="48"/>
      <c r="AB72" s="48"/>
      <c r="AC72" s="48"/>
    </row>
    <row r="73" spans="1:29">
      <c r="A73" s="149" t="s">
        <v>36</v>
      </c>
      <c r="B73" s="144" t="s">
        <v>33</v>
      </c>
      <c r="C73" s="144">
        <f t="shared" si="59"/>
        <v>0</v>
      </c>
      <c r="D73" s="144">
        <f>0.01*QSTBKT!B68*3</f>
        <v>0</v>
      </c>
      <c r="E73" s="144">
        <f>0.01*QSTBKT!B70*3</f>
        <v>0</v>
      </c>
      <c r="F73" s="145">
        <f t="shared" si="60"/>
        <v>0</v>
      </c>
      <c r="G73" s="145">
        <f t="shared" si="60"/>
        <v>0</v>
      </c>
      <c r="H73" s="145">
        <f t="shared" si="60"/>
        <v>0</v>
      </c>
      <c r="I73" s="141" t="s">
        <v>34</v>
      </c>
      <c r="J73" s="145">
        <f>J13</f>
        <v>0</v>
      </c>
      <c r="K73" s="140">
        <f t="shared" si="61"/>
        <v>0</v>
      </c>
      <c r="L73" s="141" t="s">
        <v>34</v>
      </c>
      <c r="M73" s="141" t="s">
        <v>34</v>
      </c>
      <c r="N73" s="145">
        <f t="shared" si="62"/>
        <v>0</v>
      </c>
      <c r="O73" s="145">
        <f t="shared" si="58"/>
        <v>100</v>
      </c>
      <c r="P73" s="145"/>
      <c r="Q73" s="141" t="s">
        <v>34</v>
      </c>
      <c r="R73" s="145">
        <f>R13</f>
        <v>0</v>
      </c>
      <c r="S73" s="141" t="s">
        <v>34</v>
      </c>
      <c r="T73" s="141" t="s">
        <v>34</v>
      </c>
      <c r="U73" s="145">
        <f>U13</f>
        <v>0</v>
      </c>
      <c r="V73" s="145">
        <f t="shared" si="56"/>
        <v>-100</v>
      </c>
      <c r="W73" s="141" t="s">
        <v>34</v>
      </c>
      <c r="X73" s="140">
        <f t="shared" si="57"/>
        <v>0</v>
      </c>
      <c r="Y73" s="145"/>
      <c r="Z73" s="63"/>
      <c r="AA73" s="48"/>
      <c r="AB73" s="48"/>
      <c r="AC73" s="48"/>
    </row>
    <row r="74" spans="1:29">
      <c r="A74" s="150" t="s">
        <v>37</v>
      </c>
      <c r="B74" s="142" t="s">
        <v>6</v>
      </c>
      <c r="C74" s="144"/>
      <c r="D74" s="139"/>
      <c r="E74" s="139"/>
      <c r="F74" s="140">
        <f>SUMPRODUCT($C$75:$C$78,F75:F78)/1000</f>
        <v>0</v>
      </c>
      <c r="G74" s="140">
        <f>SUMPRODUCT($C$75:$C$78,G75:G78)/1000</f>
        <v>0</v>
      </c>
      <c r="H74" s="140">
        <f>SUMPRODUCT($C$75:$C$78,H75:H78)/1000</f>
        <v>0</v>
      </c>
      <c r="I74" s="141" t="s">
        <v>34</v>
      </c>
      <c r="J74" s="140">
        <f>SUMPRODUCT($C$75:$C$78,J75:J78)/1000</f>
        <v>0</v>
      </c>
      <c r="K74" s="140">
        <f>SUMPRODUCT($C$75:$C$78,K75:K78)/1000</f>
        <v>0</v>
      </c>
      <c r="L74" s="141" t="s">
        <v>34</v>
      </c>
      <c r="M74" s="141" t="s">
        <v>34</v>
      </c>
      <c r="N74" s="140">
        <f>SUMPRODUCT($C$75:$C$78,N75:N78)/1000</f>
        <v>0</v>
      </c>
      <c r="O74" s="140">
        <f>SUMPRODUCT($C$75:$C$78,O75:O78)/1000</f>
        <v>0</v>
      </c>
      <c r="P74" s="140">
        <f>O74+N74</f>
        <v>0</v>
      </c>
      <c r="Q74" s="141" t="s">
        <v>34</v>
      </c>
      <c r="R74" s="140">
        <f>SUMPRODUCT($C$75:$C$78,R75:R78)/1000</f>
        <v>0</v>
      </c>
      <c r="S74" s="141" t="s">
        <v>34</v>
      </c>
      <c r="T74" s="141" t="s">
        <v>34</v>
      </c>
      <c r="U74" s="140">
        <f>SUMPRODUCT($E$75:$E$78,U75:U78)/1000</f>
        <v>0</v>
      </c>
      <c r="V74" s="140">
        <f t="shared" si="56"/>
        <v>0</v>
      </c>
      <c r="W74" s="141" t="s">
        <v>34</v>
      </c>
      <c r="X74" s="140">
        <f t="shared" si="57"/>
        <v>0</v>
      </c>
      <c r="Y74" s="140">
        <f>F74-N74</f>
        <v>0</v>
      </c>
      <c r="Z74" s="59"/>
      <c r="AA74" s="69"/>
      <c r="AB74" s="69"/>
      <c r="AC74" s="69"/>
    </row>
    <row r="75" spans="1:29">
      <c r="A75" s="147" t="s">
        <v>38</v>
      </c>
      <c r="B75" s="147" t="s">
        <v>39</v>
      </c>
      <c r="C75" s="144">
        <v>6</v>
      </c>
      <c r="D75" s="144">
        <v>6</v>
      </c>
      <c r="E75" s="144">
        <v>6</v>
      </c>
      <c r="F75" s="145">
        <f>F15</f>
        <v>0</v>
      </c>
      <c r="G75" s="145">
        <f t="shared" ref="G75:H75" si="63">G15</f>
        <v>0</v>
      </c>
      <c r="H75" s="145">
        <f t="shared" si="63"/>
        <v>0</v>
      </c>
      <c r="I75" s="141" t="s">
        <v>34</v>
      </c>
      <c r="J75" s="145">
        <f>J15</f>
        <v>0</v>
      </c>
      <c r="K75" s="145">
        <f>J75</f>
        <v>0</v>
      </c>
      <c r="L75" s="141" t="s">
        <v>34</v>
      </c>
      <c r="M75" s="141" t="s">
        <v>34</v>
      </c>
      <c r="N75" s="145">
        <f t="shared" si="62"/>
        <v>0</v>
      </c>
      <c r="O75" s="151">
        <f t="shared" si="58"/>
        <v>0</v>
      </c>
      <c r="P75" s="145"/>
      <c r="Q75" s="141" t="s">
        <v>34</v>
      </c>
      <c r="R75" s="145">
        <f>R15</f>
        <v>0</v>
      </c>
      <c r="S75" s="141" t="s">
        <v>34</v>
      </c>
      <c r="T75" s="141" t="s">
        <v>34</v>
      </c>
      <c r="U75" s="145">
        <f>U15</f>
        <v>0</v>
      </c>
      <c r="V75" s="145" t="str">
        <f t="shared" si="56"/>
        <v>-</v>
      </c>
      <c r="W75" s="141" t="s">
        <v>34</v>
      </c>
      <c r="X75" s="140">
        <f t="shared" si="57"/>
        <v>0</v>
      </c>
      <c r="Y75" s="145"/>
      <c r="Z75" s="63"/>
      <c r="AA75" s="48"/>
      <c r="AB75" s="48"/>
      <c r="AC75" s="48"/>
    </row>
    <row r="76" spans="1:29">
      <c r="A76" s="147" t="s">
        <v>40</v>
      </c>
      <c r="B76" s="147" t="s">
        <v>39</v>
      </c>
      <c r="C76" s="144">
        <v>4</v>
      </c>
      <c r="D76" s="144">
        <v>4</v>
      </c>
      <c r="E76" s="144">
        <v>4</v>
      </c>
      <c r="F76" s="145">
        <f>F16-F31-F46-F61</f>
        <v>0</v>
      </c>
      <c r="G76" s="145">
        <f t="shared" ref="G76:H77" si="64">G16-G31-G46-G61</f>
        <v>0</v>
      </c>
      <c r="H76" s="145">
        <f t="shared" si="64"/>
        <v>0</v>
      </c>
      <c r="I76" s="141" t="s">
        <v>34</v>
      </c>
      <c r="J76" s="145">
        <f>J16-J31-J46-J61</f>
        <v>0</v>
      </c>
      <c r="K76" s="145">
        <f t="shared" ref="K76:K78" si="65">J76</f>
        <v>0</v>
      </c>
      <c r="L76" s="141" t="s">
        <v>34</v>
      </c>
      <c r="M76" s="141" t="s">
        <v>34</v>
      </c>
      <c r="N76" s="145">
        <f>N16-N31-N46-N61</f>
        <v>0</v>
      </c>
      <c r="O76" s="151">
        <f t="shared" si="58"/>
        <v>0</v>
      </c>
      <c r="P76" s="145"/>
      <c r="Q76" s="141" t="s">
        <v>34</v>
      </c>
      <c r="R76" s="145">
        <f>R16-R31-R46-R61</f>
        <v>0</v>
      </c>
      <c r="S76" s="141" t="s">
        <v>34</v>
      </c>
      <c r="T76" s="141" t="s">
        <v>34</v>
      </c>
      <c r="U76" s="145">
        <f>U16-U31-U46-U61</f>
        <v>0</v>
      </c>
      <c r="V76" s="145" t="str">
        <f t="shared" si="56"/>
        <v>-</v>
      </c>
      <c r="W76" s="141" t="s">
        <v>34</v>
      </c>
      <c r="X76" s="140">
        <f t="shared" si="57"/>
        <v>0</v>
      </c>
      <c r="Y76" s="145"/>
      <c r="Z76" s="63"/>
      <c r="AA76" s="48"/>
      <c r="AB76" s="48"/>
      <c r="AC76" s="48"/>
    </row>
    <row r="77" spans="1:29">
      <c r="A77" s="147" t="s">
        <v>41</v>
      </c>
      <c r="B77" s="147" t="s">
        <v>39</v>
      </c>
      <c r="C77" s="144">
        <v>2</v>
      </c>
      <c r="D77" s="144">
        <v>2</v>
      </c>
      <c r="E77" s="144">
        <v>2</v>
      </c>
      <c r="F77" s="145">
        <f>F17-F32-F47-F62</f>
        <v>0</v>
      </c>
      <c r="G77" s="145">
        <f t="shared" si="64"/>
        <v>0</v>
      </c>
      <c r="H77" s="145">
        <f t="shared" si="64"/>
        <v>0</v>
      </c>
      <c r="I77" s="141" t="s">
        <v>34</v>
      </c>
      <c r="J77" s="145">
        <f>J17-J32-J47-J62</f>
        <v>0</v>
      </c>
      <c r="K77" s="145">
        <f t="shared" si="65"/>
        <v>0</v>
      </c>
      <c r="L77" s="141" t="s">
        <v>34</v>
      </c>
      <c r="M77" s="141" t="s">
        <v>34</v>
      </c>
      <c r="N77" s="145">
        <f>N17-N32-N47-N62</f>
        <v>0</v>
      </c>
      <c r="O77" s="151">
        <f t="shared" si="58"/>
        <v>0</v>
      </c>
      <c r="P77" s="145"/>
      <c r="Q77" s="141" t="s">
        <v>34</v>
      </c>
      <c r="R77" s="145">
        <f>R17-R32-R47-R62</f>
        <v>0</v>
      </c>
      <c r="S77" s="141" t="s">
        <v>34</v>
      </c>
      <c r="T77" s="141" t="s">
        <v>34</v>
      </c>
      <c r="U77" s="145">
        <f>U17-U32-U47-U62</f>
        <v>0</v>
      </c>
      <c r="V77" s="145" t="str">
        <f t="shared" si="56"/>
        <v>-</v>
      </c>
      <c r="W77" s="141" t="s">
        <v>34</v>
      </c>
      <c r="X77" s="140">
        <f t="shared" si="57"/>
        <v>0</v>
      </c>
      <c r="Y77" s="145"/>
      <c r="Z77" s="63"/>
      <c r="AA77" s="48"/>
      <c r="AB77" s="48"/>
      <c r="AC77" s="48"/>
    </row>
    <row r="78" spans="1:29">
      <c r="A78" s="147" t="s">
        <v>42</v>
      </c>
      <c r="B78" s="147" t="s">
        <v>43</v>
      </c>
      <c r="C78" s="144">
        <f t="shared" si="59"/>
        <v>0</v>
      </c>
      <c r="D78" s="144">
        <f>0.07*QSTBKT!B68</f>
        <v>0</v>
      </c>
      <c r="E78" s="144">
        <f>0.07*QSTBKT!B70</f>
        <v>0</v>
      </c>
      <c r="F78" s="145">
        <f>F18</f>
        <v>0</v>
      </c>
      <c r="G78" s="145">
        <f>G18</f>
        <v>0</v>
      </c>
      <c r="H78" s="145">
        <f>H18</f>
        <v>0</v>
      </c>
      <c r="I78" s="141" t="s">
        <v>34</v>
      </c>
      <c r="J78" s="145">
        <f>J18</f>
        <v>0</v>
      </c>
      <c r="K78" s="145">
        <f t="shared" si="65"/>
        <v>0</v>
      </c>
      <c r="L78" s="141" t="s">
        <v>34</v>
      </c>
      <c r="M78" s="141" t="s">
        <v>34</v>
      </c>
      <c r="N78" s="145">
        <f t="shared" ref="N78" si="66">N18</f>
        <v>0</v>
      </c>
      <c r="O78" s="151">
        <f t="shared" si="58"/>
        <v>1</v>
      </c>
      <c r="P78" s="145"/>
      <c r="Q78" s="141" t="s">
        <v>34</v>
      </c>
      <c r="R78" s="145">
        <f>R18</f>
        <v>0</v>
      </c>
      <c r="S78" s="141" t="s">
        <v>34</v>
      </c>
      <c r="T78" s="141" t="s">
        <v>34</v>
      </c>
      <c r="U78" s="145">
        <f>U18</f>
        <v>0</v>
      </c>
      <c r="V78" s="145">
        <f t="shared" si="56"/>
        <v>-1</v>
      </c>
      <c r="W78" s="141" t="s">
        <v>34</v>
      </c>
      <c r="X78" s="140">
        <f t="shared" si="57"/>
        <v>0</v>
      </c>
      <c r="Y78" s="145"/>
      <c r="Z78" s="63"/>
      <c r="AA78" s="48"/>
      <c r="AB78" s="48"/>
      <c r="AC78" s="48"/>
    </row>
    <row r="79" spans="1:29">
      <c r="A79" s="150" t="s">
        <v>44</v>
      </c>
      <c r="B79" s="142" t="s">
        <v>6</v>
      </c>
      <c r="C79" s="144"/>
      <c r="D79" s="139"/>
      <c r="E79" s="139"/>
      <c r="F79" s="152">
        <f>F80*$C$80/1000</f>
        <v>0</v>
      </c>
      <c r="G79" s="152">
        <f>G80*$C$80/1000</f>
        <v>0</v>
      </c>
      <c r="H79" s="152">
        <f>H80*$C$80/1000</f>
        <v>0</v>
      </c>
      <c r="I79" s="141" t="s">
        <v>34</v>
      </c>
      <c r="J79" s="152">
        <f>J80*$C$80/1000</f>
        <v>0</v>
      </c>
      <c r="K79" s="152">
        <f>K80*$C$80/1000</f>
        <v>0</v>
      </c>
      <c r="L79" s="141" t="s">
        <v>34</v>
      </c>
      <c r="M79" s="141" t="s">
        <v>34</v>
      </c>
      <c r="N79" s="152">
        <f>N80*$C$80/1000</f>
        <v>0</v>
      </c>
      <c r="O79" s="152">
        <f>O80*$C$80/1000</f>
        <v>0</v>
      </c>
      <c r="P79" s="140">
        <f>O79+N79</f>
        <v>0</v>
      </c>
      <c r="Q79" s="141" t="s">
        <v>34</v>
      </c>
      <c r="R79" s="152">
        <f>R80*$C$80/1000</f>
        <v>0</v>
      </c>
      <c r="S79" s="141" t="s">
        <v>34</v>
      </c>
      <c r="T79" s="141" t="s">
        <v>34</v>
      </c>
      <c r="U79" s="152">
        <f>U80*$E$80/1000</f>
        <v>0</v>
      </c>
      <c r="V79" s="140">
        <f t="shared" si="56"/>
        <v>0</v>
      </c>
      <c r="W79" s="141" t="s">
        <v>34</v>
      </c>
      <c r="X79" s="140">
        <f t="shared" si="57"/>
        <v>0</v>
      </c>
      <c r="Y79" s="140">
        <f>F79-N79</f>
        <v>0</v>
      </c>
      <c r="Z79" s="59"/>
      <c r="AA79" s="69"/>
      <c r="AB79" s="69"/>
      <c r="AC79" s="69"/>
    </row>
    <row r="80" spans="1:29">
      <c r="A80" s="147" t="s">
        <v>45</v>
      </c>
      <c r="B80" s="147" t="s">
        <v>46</v>
      </c>
      <c r="C80" s="151">
        <f t="shared" si="59"/>
        <v>0</v>
      </c>
      <c r="D80" s="153">
        <f>0.5*QSTBKT!B68/30</f>
        <v>0</v>
      </c>
      <c r="E80" s="153">
        <f>0.5*QSTBKT!B70/30</f>
        <v>0</v>
      </c>
      <c r="F80" s="145">
        <f>F20</f>
        <v>0</v>
      </c>
      <c r="G80" s="145">
        <f>G20</f>
        <v>0</v>
      </c>
      <c r="H80" s="145">
        <f>H20</f>
        <v>0</v>
      </c>
      <c r="I80" s="141" t="s">
        <v>34</v>
      </c>
      <c r="J80" s="145">
        <f>J20</f>
        <v>0</v>
      </c>
      <c r="K80" s="145">
        <f>J80</f>
        <v>0</v>
      </c>
      <c r="L80" s="141" t="s">
        <v>34</v>
      </c>
      <c r="M80" s="141" t="s">
        <v>34</v>
      </c>
      <c r="N80" s="145">
        <f>N20</f>
        <v>0</v>
      </c>
      <c r="O80" s="145">
        <f t="shared" si="58"/>
        <v>3</v>
      </c>
      <c r="P80" s="145"/>
      <c r="Q80" s="141" t="s">
        <v>34</v>
      </c>
      <c r="R80" s="145">
        <f>R20</f>
        <v>0</v>
      </c>
      <c r="S80" s="141" t="s">
        <v>34</v>
      </c>
      <c r="T80" s="141" t="s">
        <v>34</v>
      </c>
      <c r="U80" s="145">
        <f>U20</f>
        <v>0</v>
      </c>
      <c r="V80" s="145">
        <f t="shared" si="56"/>
        <v>-3</v>
      </c>
      <c r="W80" s="141" t="s">
        <v>34</v>
      </c>
      <c r="X80" s="140">
        <f t="shared" si="57"/>
        <v>0</v>
      </c>
      <c r="Y80" s="145"/>
      <c r="Z80" s="63"/>
      <c r="AA80" s="48"/>
      <c r="AB80" s="48"/>
      <c r="AC80" s="48"/>
    </row>
    <row r="81" spans="1:29">
      <c r="A81" s="150" t="s">
        <v>47</v>
      </c>
      <c r="B81" s="142" t="s">
        <v>6</v>
      </c>
      <c r="C81" s="153"/>
      <c r="D81" s="153"/>
      <c r="E81" s="144"/>
      <c r="F81" s="146">
        <f>F21-F36-F51-F66</f>
        <v>0</v>
      </c>
      <c r="G81" s="146">
        <f t="shared" ref="G81:J81" si="67">G21-G36-G51-G66</f>
        <v>0</v>
      </c>
      <c r="H81" s="146">
        <f t="shared" si="67"/>
        <v>0</v>
      </c>
      <c r="I81" s="141" t="s">
        <v>34</v>
      </c>
      <c r="J81" s="146">
        <f t="shared" si="67"/>
        <v>0</v>
      </c>
      <c r="K81" s="146">
        <f>J81</f>
        <v>0</v>
      </c>
      <c r="L81" s="141" t="s">
        <v>34</v>
      </c>
      <c r="M81" s="141" t="s">
        <v>34</v>
      </c>
      <c r="N81" s="146">
        <f t="shared" ref="N81" si="68">N21-N36-N51-N66</f>
        <v>0</v>
      </c>
      <c r="O81" s="146">
        <f t="shared" si="58"/>
        <v>0</v>
      </c>
      <c r="P81" s="140">
        <f>O81+N81</f>
        <v>0</v>
      </c>
      <c r="Q81" s="141" t="s">
        <v>34</v>
      </c>
      <c r="R81" s="146">
        <f t="shared" ref="R81" si="69">R21-R36-R51-R66</f>
        <v>0</v>
      </c>
      <c r="S81" s="141" t="s">
        <v>34</v>
      </c>
      <c r="T81" s="141" t="s">
        <v>34</v>
      </c>
      <c r="U81" s="146">
        <f t="shared" ref="U81" si="70">G81+R81-N81</f>
        <v>0</v>
      </c>
      <c r="V81" s="140" t="str">
        <f t="shared" si="56"/>
        <v>-</v>
      </c>
      <c r="W81" s="141" t="s">
        <v>34</v>
      </c>
      <c r="X81" s="140">
        <f t="shared" ref="X81" si="71">H81+J81-R81</f>
        <v>0</v>
      </c>
      <c r="Y81" s="140">
        <f>F81-P81</f>
        <v>0</v>
      </c>
      <c r="Z81" s="63"/>
      <c r="AA81" s="48"/>
      <c r="AB81" s="48"/>
      <c r="AC81" s="48"/>
    </row>
    <row r="82" spans="1:29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</row>
    <row r="83" spans="1:29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</row>
    <row r="84" spans="1:29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</row>
    <row r="85" spans="1:29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</row>
    <row r="86" spans="1:29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</row>
    <row r="87" spans="1:29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</row>
    <row r="88" spans="1:29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</row>
    <row r="89" spans="1:29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</row>
  </sheetData>
  <mergeCells count="34">
    <mergeCell ref="G4:H4"/>
    <mergeCell ref="I4:K5"/>
    <mergeCell ref="L4:M4"/>
    <mergeCell ref="O5:O6"/>
    <mergeCell ref="S5:T5"/>
    <mergeCell ref="S4:V4"/>
    <mergeCell ref="G5:G6"/>
    <mergeCell ref="H5:H6"/>
    <mergeCell ref="L5:L6"/>
    <mergeCell ref="M5:M6"/>
    <mergeCell ref="N5:N6"/>
    <mergeCell ref="AA4:AA5"/>
    <mergeCell ref="AB4:AB5"/>
    <mergeCell ref="AC4:AC5"/>
    <mergeCell ref="Y4:Y6"/>
    <mergeCell ref="U5:V5"/>
    <mergeCell ref="W5:W6"/>
    <mergeCell ref="X5:X6"/>
    <mergeCell ref="F4:F6"/>
    <mergeCell ref="N4:O4"/>
    <mergeCell ref="Z4:Z5"/>
    <mergeCell ref="A1:AC1"/>
    <mergeCell ref="A3:A6"/>
    <mergeCell ref="B3:B6"/>
    <mergeCell ref="C3:C6"/>
    <mergeCell ref="D3:D6"/>
    <mergeCell ref="E3:E6"/>
    <mergeCell ref="F3:K3"/>
    <mergeCell ref="L3:P3"/>
    <mergeCell ref="Q3:R5"/>
    <mergeCell ref="S3:Y3"/>
    <mergeCell ref="Z3:AC3"/>
    <mergeCell ref="P4:P6"/>
    <mergeCell ref="W4:X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QSTBKT</vt:lpstr>
      <vt:lpstr>ChiLenhHCKT</vt:lpstr>
      <vt:lpstr>PhanCapVCHC</vt:lpstr>
      <vt:lpstr>TinhHinhVC</vt:lpstr>
      <vt:lpstr>VCHCVTKT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Thế Nguyên</dc:creator>
  <cp:lastModifiedBy>Nguyen Thi Thanh Huyen</cp:lastModifiedBy>
  <dcterms:created xsi:type="dcterms:W3CDTF">2025-12-02T15:26:00Z</dcterms:created>
  <dcterms:modified xsi:type="dcterms:W3CDTF">2026-03-09T01:35:02Z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EA5910DF0ACF4499B29763509B539F6C_12</vt:lpwstr>
  </property>
  <property fmtid="{D5CDD505-2E9C-101B-9397-08002B2CF9AE}" pid="3" name="KSOProductBuildVer">
    <vt:lpwstr>1033-12.2.0.23196</vt:lpwstr>
  </property>
</Properties>
</file>