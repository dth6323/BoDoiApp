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codenew\Resources\Sheet\"/>
    </mc:Choice>
  </mc:AlternateContent>
  <xr:revisionPtr revIDLastSave="0" documentId="13_ncr:1_{D1B7BC97-CBAC-41C5-8BD8-2568683F3594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BaoDamQuanY" sheetId="16" r:id="rId1"/>
    <sheet name="ChiLenhHCKT" sheetId="17" r:id="rId2"/>
    <sheet name="PhanCapVCHC" sheetId="1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8" l="1"/>
  <c r="F8" i="18"/>
  <c r="F9" i="18"/>
  <c r="F10" i="18"/>
  <c r="F11" i="18"/>
  <c r="F12" i="18"/>
  <c r="F13" i="18"/>
  <c r="F14" i="18"/>
  <c r="F15" i="18"/>
  <c r="F16" i="18"/>
  <c r="F17" i="18"/>
  <c r="F18" i="18"/>
  <c r="F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6" i="18"/>
  <c r="D7" i="18" l="1"/>
  <c r="D6" i="18"/>
  <c r="D8" i="18"/>
  <c r="D10" i="18"/>
  <c r="D15" i="18"/>
  <c r="D17" i="18"/>
  <c r="D18" i="18"/>
  <c r="G18" i="18"/>
  <c r="G17" i="18"/>
  <c r="G15" i="18"/>
  <c r="G14" i="18"/>
  <c r="D14" i="18"/>
  <c r="G13" i="18"/>
  <c r="D13" i="18"/>
  <c r="G12" i="18"/>
  <c r="D12" i="18"/>
  <c r="G10" i="18"/>
  <c r="G9" i="18"/>
  <c r="D9" i="18"/>
  <c r="G8" i="18"/>
  <c r="G7" i="18"/>
  <c r="G6" i="18"/>
  <c r="E10" i="16"/>
  <c r="C10" i="16"/>
  <c r="I9" i="16"/>
  <c r="E9" i="16"/>
  <c r="G9" i="16" s="1"/>
  <c r="I8" i="16"/>
  <c r="E8" i="16"/>
  <c r="J8" i="16" s="1"/>
  <c r="I7" i="16"/>
  <c r="E7" i="16"/>
  <c r="G7" i="16" s="1"/>
  <c r="I6" i="16"/>
  <c r="E6" i="16"/>
  <c r="G6" i="16" s="1"/>
  <c r="I5" i="16"/>
  <c r="E5" i="16"/>
  <c r="J5" i="16" s="1"/>
  <c r="G5" i="16" l="1"/>
  <c r="J6" i="16"/>
  <c r="J7" i="16"/>
  <c r="J9" i="16"/>
  <c r="G8" i="16"/>
</calcChain>
</file>

<file path=xl/sharedStrings.xml><?xml version="1.0" encoding="utf-8"?>
<sst xmlns="http://schemas.openxmlformats.org/spreadsheetml/2006/main" count="139" uniqueCount="92">
  <si>
    <t>+</t>
  </si>
  <si>
    <t>TT</t>
  </si>
  <si>
    <t>%QS</t>
  </si>
  <si>
    <t>Nội dung</t>
  </si>
  <si>
    <t>Quân số</t>
  </si>
  <si>
    <t>Dự kiến tỷ lệ TBB</t>
  </si>
  <si>
    <t>TB</t>
  </si>
  <si>
    <t>BB</t>
  </si>
  <si>
    <t>Số người</t>
  </si>
  <si>
    <t>TBHH</t>
  </si>
  <si>
    <t>Người</t>
  </si>
  <si>
    <t>Toàn trận</t>
  </si>
  <si>
    <t>-</t>
  </si>
  <si>
    <t>Dự bị cơ động</t>
  </si>
  <si>
    <t>LL còn lại</t>
  </si>
  <si>
    <t>Ngày cao nhất</t>
  </si>
  <si>
    <t xml:space="preserve"> </t>
  </si>
  <si>
    <t>1. Quy định dự trữ, tiêu thụ, bổ sung vật chất</t>
  </si>
  <si>
    <t>Đạn, vật chất hậu cần, vật tư kỹ thuật</t>
  </si>
  <si>
    <t>ĐVT</t>
  </si>
  <si>
    <t>Quy định dự trữ</t>
  </si>
  <si>
    <t>Phải có 04.00-N</t>
  </si>
  <si>
    <t>Phải có SCĐ</t>
  </si>
  <si>
    <t>Tiêu thụ</t>
  </si>
  <si>
    <t>GĐCB</t>
  </si>
  <si>
    <t>GĐCĐ</t>
  </si>
  <si>
    <t>I</t>
  </si>
  <si>
    <t>Đạn</t>
  </si>
  <si>
    <t>Đạn K51 (SN)</t>
  </si>
  <si>
    <t>Cơ số</t>
  </si>
  <si>
    <t>Đạn K56 (TL, TrL)</t>
  </si>
  <si>
    <t>Đạn K53 (ĐL)</t>
  </si>
  <si>
    <t>Đạn 12,7 mm</t>
  </si>
  <si>
    <t>Đạn cối 100 mm</t>
  </si>
  <si>
    <t>Đạn cối 82 mm</t>
  </si>
  <si>
    <t>Đạn cối 60 mm</t>
  </si>
  <si>
    <t>Đạn SPG-9</t>
  </si>
  <si>
    <t>Đạn B41</t>
  </si>
  <si>
    <t>Lựu đạn</t>
  </si>
  <si>
    <t>Quả</t>
  </si>
  <si>
    <t>II</t>
  </si>
  <si>
    <t>Vật chất hậu cần</t>
  </si>
  <si>
    <t>A</t>
  </si>
  <si>
    <t>Quân nhu</t>
  </si>
  <si>
    <t>LTTP</t>
  </si>
  <si>
    <t>Ngày</t>
  </si>
  <si>
    <t>Lương khô</t>
  </si>
  <si>
    <t>ĐSTB</t>
  </si>
  <si>
    <t>QLCĐ</t>
  </si>
  <si>
    <t>QTCĐ</t>
  </si>
  <si>
    <t>,,</t>
  </si>
  <si>
    <t>B</t>
  </si>
  <si>
    <t>Quân y</t>
  </si>
  <si>
    <t>Túi y sỹ</t>
  </si>
  <si>
    <t>Túi</t>
  </si>
  <si>
    <t>Túi y tá</t>
  </si>
  <si>
    <t>Túi cứu thương</t>
  </si>
  <si>
    <t>Băng cá nhân</t>
  </si>
  <si>
    <t>C/ng</t>
  </si>
  <si>
    <t>Doanh Trại</t>
  </si>
  <si>
    <t>Dầu thắp</t>
  </si>
  <si>
    <t>III</t>
  </si>
  <si>
    <t>Vật tư kỹ thuật</t>
  </si>
  <si>
    <t>Tấn</t>
  </si>
  <si>
    <t>2. Dự kiến tỉ lệ thương binh, bệnh binh</t>
  </si>
  <si>
    <t>Tỷ lệ thương binh toàn trận</t>
  </si>
  <si>
    <t>Tỷ lệ thương binh trung bình ngày đêm</t>
  </si>
  <si>
    <t>Tỷ lệ thương binh ngày cao nhất</t>
  </si>
  <si>
    <t>Tỷ lệ thương binh phải càng</t>
  </si>
  <si>
    <t>Tỷ lệ bệnh binh toàn trận</t>
  </si>
  <si>
    <t>3. Dự kiến tỉ lệ vũ khí trang bị hư hỏng</t>
  </si>
  <si>
    <t>SMPK 12,7mm</t>
  </si>
  <si>
    <t>Súng SPG-9</t>
  </si>
  <si>
    <t>Súng cối các loại</t>
  </si>
  <si>
    <t>Súng bộ binh</t>
  </si>
  <si>
    <t>2. Phân cấp một số loại vật chất hậu cần chủ yếu</t>
  </si>
  <si>
    <t>Loại Vật chất</t>
  </si>
  <si>
    <t>Phải có 04.00N</t>
  </si>
  <si>
    <t>Phải có sau chiến đấu</t>
  </si>
  <si>
    <t>Kho d</t>
  </si>
  <si>
    <t>Đơn vị</t>
  </si>
  <si>
    <t>Tổng</t>
  </si>
  <si>
    <t>Gạo, thực phẩm</t>
  </si>
  <si>
    <t>Ngày ăn</t>
  </si>
  <si>
    <t>Đường sữa thương binh</t>
  </si>
  <si>
    <t>Quân lương chiến đấu</t>
  </si>
  <si>
    <t>Quân trang chiến đấu</t>
  </si>
  <si>
    <t>C/người</t>
  </si>
  <si>
    <t>Doanh trại</t>
  </si>
  <si>
    <t>II.</t>
  </si>
  <si>
    <t>Hướng Chủ yếu</t>
  </si>
  <si>
    <t>Hướng Thứ Yếu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</si>
</sst>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4" fillId="5" borderId="0" xfId="0" applyFont="1" applyFill="1"/>
    <xf numFmtId="0" fontId="4" fillId="0" borderId="0" xfId="0" applyFont="1"/>
    <xf numFmtId="0" fontId="5" fillId="0" borderId="0" xfId="0" applyFont="1"/>
    <xf numFmtId="0" fontId="5" fillId="5" borderId="0" xfId="0" applyFont="1" applyFill="1"/>
    <xf numFmtId="0" fontId="5" fillId="5" borderId="0" xfId="0" applyFont="1" applyFill="1" applyAlignment="1">
      <alignment vertical="center" wrapText="1"/>
    </xf>
    <xf numFmtId="0" fontId="6" fillId="0" borderId="0" xfId="0" applyFont="1"/>
    <xf numFmtId="0" fontId="4" fillId="6" borderId="12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justify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/>
    </xf>
    <xf numFmtId="0" fontId="4" fillId="5" borderId="1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8A65-A8E3-488E-8D20-235E1B05D76B}">
  <dimension ref="A1:J10"/>
  <sheetViews>
    <sheetView workbookViewId="0">
      <selection activeCell="B10" sqref="B10"/>
    </sheetView>
  </sheetViews>
  <sheetFormatPr defaultRowHeight="15"/>
  <sheetData>
    <row r="1" spans="1:10">
      <c r="A1" s="24" t="s">
        <v>1</v>
      </c>
      <c r="B1" s="24" t="s">
        <v>3</v>
      </c>
      <c r="C1" s="24" t="s">
        <v>4</v>
      </c>
      <c r="D1" s="27" t="s">
        <v>5</v>
      </c>
      <c r="E1" s="28"/>
      <c r="F1" s="28"/>
      <c r="G1" s="28"/>
      <c r="H1" s="28"/>
      <c r="I1" s="28"/>
      <c r="J1" s="29"/>
    </row>
    <row r="2" spans="1:10">
      <c r="A2" s="25"/>
      <c r="B2" s="25"/>
      <c r="C2" s="25"/>
      <c r="D2" s="27" t="s">
        <v>6</v>
      </c>
      <c r="E2" s="28"/>
      <c r="F2" s="28"/>
      <c r="G2" s="29"/>
      <c r="H2" s="27" t="s">
        <v>7</v>
      </c>
      <c r="I2" s="29"/>
      <c r="J2" s="24" t="s">
        <v>0</v>
      </c>
    </row>
    <row r="3" spans="1:10">
      <c r="A3" s="25"/>
      <c r="B3" s="25"/>
      <c r="C3" s="25"/>
      <c r="D3" s="24" t="s">
        <v>2</v>
      </c>
      <c r="E3" s="24" t="s">
        <v>8</v>
      </c>
      <c r="F3" s="27" t="s">
        <v>9</v>
      </c>
      <c r="G3" s="29"/>
      <c r="H3" s="24" t="s">
        <v>2</v>
      </c>
      <c r="I3" s="24" t="s">
        <v>8</v>
      </c>
      <c r="J3" s="26"/>
    </row>
    <row r="4" spans="1:10">
      <c r="A4" s="26"/>
      <c r="B4" s="26"/>
      <c r="C4" s="26"/>
      <c r="D4" s="26"/>
      <c r="E4" s="26"/>
      <c r="F4" s="1" t="s">
        <v>2</v>
      </c>
      <c r="G4" s="1" t="s">
        <v>8</v>
      </c>
      <c r="H4" s="26"/>
      <c r="I4" s="26"/>
      <c r="J4" s="1" t="s">
        <v>10</v>
      </c>
    </row>
    <row r="5" spans="1:10">
      <c r="A5" s="2">
        <v>1</v>
      </c>
      <c r="B5" s="2" t="s">
        <v>11</v>
      </c>
      <c r="C5" s="3">
        <v>0</v>
      </c>
      <c r="D5" s="4">
        <v>0</v>
      </c>
      <c r="E5" s="3">
        <f>ROUND(C5*D5/100,0)</f>
        <v>0</v>
      </c>
      <c r="F5" s="4">
        <v>0</v>
      </c>
      <c r="G5" s="3">
        <f>ROUND(E5*F5/100,0)</f>
        <v>0</v>
      </c>
      <c r="H5" s="4">
        <v>0</v>
      </c>
      <c r="I5" s="3">
        <f>ROUND(H5*C5/100,0)</f>
        <v>0</v>
      </c>
      <c r="J5" s="3">
        <f>E5+I5</f>
        <v>0</v>
      </c>
    </row>
    <row r="6" spans="1:10" ht="24">
      <c r="A6" s="2" t="s">
        <v>12</v>
      </c>
      <c r="B6" s="2" t="s">
        <v>90</v>
      </c>
      <c r="C6" s="3">
        <v>0</v>
      </c>
      <c r="D6" s="4">
        <v>0</v>
      </c>
      <c r="E6" s="3">
        <f t="shared" ref="E6:E9" si="0">ROUND(C6*D6/100,0)</f>
        <v>0</v>
      </c>
      <c r="F6" s="4">
        <v>1</v>
      </c>
      <c r="G6" s="3">
        <f t="shared" ref="G6:G9" si="1">ROUND(E6*F6/100,0)</f>
        <v>0</v>
      </c>
      <c r="H6" s="4">
        <v>1</v>
      </c>
      <c r="I6" s="3">
        <f t="shared" ref="I6:I9" si="2">ROUND(H6*C6/100,0)</f>
        <v>0</v>
      </c>
      <c r="J6" s="3">
        <f t="shared" ref="J6:J9" si="3">E6+I6</f>
        <v>0</v>
      </c>
    </row>
    <row r="7" spans="1:10" ht="24">
      <c r="A7" s="2" t="s">
        <v>12</v>
      </c>
      <c r="B7" s="2" t="s">
        <v>91</v>
      </c>
      <c r="C7" s="3">
        <v>0</v>
      </c>
      <c r="D7" s="4">
        <v>0</v>
      </c>
      <c r="E7" s="3">
        <f t="shared" si="0"/>
        <v>0</v>
      </c>
      <c r="F7" s="4">
        <v>2</v>
      </c>
      <c r="G7" s="3">
        <f t="shared" si="1"/>
        <v>0</v>
      </c>
      <c r="H7" s="4">
        <v>2</v>
      </c>
      <c r="I7" s="3">
        <f t="shared" si="2"/>
        <v>0</v>
      </c>
      <c r="J7" s="3">
        <f t="shared" si="3"/>
        <v>0</v>
      </c>
    </row>
    <row r="8" spans="1:10" ht="24">
      <c r="A8" s="2" t="s">
        <v>12</v>
      </c>
      <c r="B8" s="2" t="s">
        <v>13</v>
      </c>
      <c r="C8" s="3">
        <v>0</v>
      </c>
      <c r="D8" s="4">
        <v>0</v>
      </c>
      <c r="E8" s="3">
        <f t="shared" si="0"/>
        <v>0</v>
      </c>
      <c r="F8" s="4">
        <v>5</v>
      </c>
      <c r="G8" s="3">
        <f t="shared" si="1"/>
        <v>0</v>
      </c>
      <c r="H8" s="4">
        <v>5</v>
      </c>
      <c r="I8" s="3">
        <f t="shared" si="2"/>
        <v>0</v>
      </c>
      <c r="J8" s="3">
        <f t="shared" si="3"/>
        <v>0</v>
      </c>
    </row>
    <row r="9" spans="1:10">
      <c r="A9" s="2"/>
      <c r="B9" s="2" t="s">
        <v>14</v>
      </c>
      <c r="C9" s="3">
        <v>0</v>
      </c>
      <c r="D9" s="4">
        <v>0</v>
      </c>
      <c r="E9" s="3">
        <f t="shared" si="0"/>
        <v>0</v>
      </c>
      <c r="F9" s="4">
        <v>6</v>
      </c>
      <c r="G9" s="3">
        <f t="shared" si="1"/>
        <v>0</v>
      </c>
      <c r="H9" s="4">
        <v>6</v>
      </c>
      <c r="I9" s="3">
        <f t="shared" si="2"/>
        <v>0</v>
      </c>
      <c r="J9" s="3">
        <f t="shared" si="3"/>
        <v>0</v>
      </c>
    </row>
    <row r="10" spans="1:10" ht="24">
      <c r="A10" s="2">
        <v>2</v>
      </c>
      <c r="B10" s="2" t="s">
        <v>15</v>
      </c>
      <c r="C10" s="3">
        <f>C5</f>
        <v>0</v>
      </c>
      <c r="D10" s="4">
        <v>8</v>
      </c>
      <c r="E10" s="3">
        <f>ROUND(C10*D10/100,0)</f>
        <v>0</v>
      </c>
      <c r="F10" s="5"/>
      <c r="G10" s="2" t="s">
        <v>16</v>
      </c>
      <c r="H10" s="5"/>
      <c r="I10" s="2"/>
      <c r="J10" s="2"/>
    </row>
  </sheetData>
  <mergeCells count="12">
    <mergeCell ref="H3:H4"/>
    <mergeCell ref="I3:I4"/>
    <mergeCell ref="A1:A4"/>
    <mergeCell ref="B1:B4"/>
    <mergeCell ref="C1:C4"/>
    <mergeCell ref="D1:J1"/>
    <mergeCell ref="D2:G2"/>
    <mergeCell ref="H2:I2"/>
    <mergeCell ref="J2:J3"/>
    <mergeCell ref="D3:D4"/>
    <mergeCell ref="E3:E4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17EA-1061-464B-883E-6391396F7EEA}">
  <dimension ref="A1:H40"/>
  <sheetViews>
    <sheetView workbookViewId="0">
      <selection activeCell="K26" sqref="K26"/>
    </sheetView>
  </sheetViews>
  <sheetFormatPr defaultRowHeight="15"/>
  <cols>
    <col min="2" max="2" width="43.28515625" customWidth="1"/>
    <col min="5" max="5" width="10.7109375" customWidth="1"/>
    <col min="6" max="6" width="13" customWidth="1"/>
  </cols>
  <sheetData>
    <row r="1" spans="1:8" ht="18.75">
      <c r="A1" s="30" t="s">
        <v>17</v>
      </c>
      <c r="B1" s="30"/>
      <c r="C1" s="30"/>
      <c r="D1" s="30"/>
      <c r="E1" s="30"/>
      <c r="F1" s="30"/>
      <c r="G1" s="30"/>
      <c r="H1" s="30"/>
    </row>
    <row r="2" spans="1:8" ht="18.75">
      <c r="A2" s="31" t="s">
        <v>1</v>
      </c>
      <c r="B2" s="31" t="s">
        <v>18</v>
      </c>
      <c r="C2" s="31" t="s">
        <v>19</v>
      </c>
      <c r="D2" s="31" t="s">
        <v>20</v>
      </c>
      <c r="E2" s="31" t="s">
        <v>21</v>
      </c>
      <c r="F2" s="31" t="s">
        <v>22</v>
      </c>
      <c r="G2" s="31" t="s">
        <v>23</v>
      </c>
      <c r="H2" s="31"/>
    </row>
    <row r="3" spans="1:8" ht="37.5">
      <c r="A3" s="31"/>
      <c r="B3" s="31"/>
      <c r="C3" s="31"/>
      <c r="D3" s="31"/>
      <c r="E3" s="31"/>
      <c r="F3" s="31"/>
      <c r="G3" s="6" t="s">
        <v>24</v>
      </c>
      <c r="H3" s="6" t="s">
        <v>25</v>
      </c>
    </row>
    <row r="4" spans="1:8" ht="18.75">
      <c r="A4" s="6" t="s">
        <v>26</v>
      </c>
      <c r="B4" s="7" t="s">
        <v>27</v>
      </c>
      <c r="C4" s="8"/>
      <c r="D4" s="8"/>
      <c r="E4" s="8"/>
      <c r="F4" s="8"/>
      <c r="G4" s="8"/>
      <c r="H4" s="8"/>
    </row>
    <row r="5" spans="1:8" ht="18.75">
      <c r="A5" s="8">
        <v>1</v>
      </c>
      <c r="B5" s="9" t="s">
        <v>28</v>
      </c>
      <c r="C5" s="8" t="s">
        <v>29</v>
      </c>
      <c r="D5" s="8">
        <v>0</v>
      </c>
      <c r="E5" s="8">
        <v>0</v>
      </c>
      <c r="F5" s="8">
        <v>0</v>
      </c>
      <c r="G5" s="8">
        <v>0</v>
      </c>
      <c r="H5" s="8">
        <v>0</v>
      </c>
    </row>
    <row r="6" spans="1:8" ht="18.75">
      <c r="A6" s="8">
        <v>2</v>
      </c>
      <c r="B6" s="9" t="s">
        <v>30</v>
      </c>
      <c r="C6" s="8" t="s">
        <v>29</v>
      </c>
      <c r="D6" s="8">
        <v>0</v>
      </c>
      <c r="E6" s="8">
        <v>0</v>
      </c>
      <c r="F6" s="8">
        <v>0</v>
      </c>
      <c r="G6" s="8">
        <v>0</v>
      </c>
      <c r="H6" s="8">
        <v>0</v>
      </c>
    </row>
    <row r="7" spans="1:8" ht="18.75">
      <c r="A7" s="8">
        <v>3</v>
      </c>
      <c r="B7" s="9" t="s">
        <v>31</v>
      </c>
      <c r="C7" s="8" t="s">
        <v>29</v>
      </c>
      <c r="D7" s="8">
        <v>0</v>
      </c>
      <c r="E7" s="8">
        <v>0</v>
      </c>
      <c r="F7" s="8">
        <v>0</v>
      </c>
      <c r="G7" s="8">
        <v>0</v>
      </c>
      <c r="H7" s="8">
        <v>0</v>
      </c>
    </row>
    <row r="8" spans="1:8" ht="18.75">
      <c r="A8" s="8">
        <v>4</v>
      </c>
      <c r="B8" s="9" t="s">
        <v>32</v>
      </c>
      <c r="C8" s="8" t="s">
        <v>29</v>
      </c>
      <c r="D8" s="8">
        <v>0</v>
      </c>
      <c r="E8" s="8">
        <v>0</v>
      </c>
      <c r="F8" s="8">
        <v>0</v>
      </c>
      <c r="G8" s="8">
        <v>0</v>
      </c>
      <c r="H8" s="8">
        <v>0</v>
      </c>
    </row>
    <row r="9" spans="1:8" ht="18.75">
      <c r="A9" s="8">
        <v>5</v>
      </c>
      <c r="B9" s="9" t="s">
        <v>33</v>
      </c>
      <c r="C9" s="8" t="s">
        <v>29</v>
      </c>
      <c r="D9" s="8">
        <v>0</v>
      </c>
      <c r="E9" s="8">
        <v>0</v>
      </c>
      <c r="F9" s="8">
        <v>0</v>
      </c>
      <c r="G9" s="8">
        <v>0</v>
      </c>
      <c r="H9" s="8">
        <v>0</v>
      </c>
    </row>
    <row r="10" spans="1:8" ht="18.75">
      <c r="A10" s="8">
        <v>6</v>
      </c>
      <c r="B10" s="9" t="s">
        <v>34</v>
      </c>
      <c r="C10" s="8" t="s">
        <v>29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</row>
    <row r="11" spans="1:8" ht="18.75">
      <c r="A11" s="8">
        <v>7</v>
      </c>
      <c r="B11" s="9" t="s">
        <v>35</v>
      </c>
      <c r="C11" s="8" t="s">
        <v>29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</row>
    <row r="12" spans="1:8" ht="18.75">
      <c r="A12" s="8">
        <v>8</v>
      </c>
      <c r="B12" s="9" t="s">
        <v>36</v>
      </c>
      <c r="C12" s="8" t="s">
        <v>29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ht="18.75">
      <c r="A13" s="8">
        <v>9</v>
      </c>
      <c r="B13" s="9" t="s">
        <v>37</v>
      </c>
      <c r="C13" s="8" t="s">
        <v>29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  <row r="14" spans="1:8" ht="18.75">
      <c r="A14" s="8">
        <v>10</v>
      </c>
      <c r="B14" s="9" t="s">
        <v>38</v>
      </c>
      <c r="C14" s="8" t="s">
        <v>39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</row>
    <row r="15" spans="1:8" ht="18.75">
      <c r="A15" s="6" t="s">
        <v>40</v>
      </c>
      <c r="B15" s="7" t="s">
        <v>41</v>
      </c>
      <c r="C15" s="8"/>
      <c r="D15" s="8">
        <v>0</v>
      </c>
      <c r="E15" s="8">
        <v>0</v>
      </c>
      <c r="F15" s="8">
        <v>0</v>
      </c>
      <c r="G15" s="8">
        <v>0</v>
      </c>
      <c r="H15" s="8">
        <v>0</v>
      </c>
    </row>
    <row r="16" spans="1:8" ht="18.75">
      <c r="A16" s="6" t="s">
        <v>42</v>
      </c>
      <c r="B16" s="7" t="s">
        <v>43</v>
      </c>
      <c r="C16" s="8"/>
      <c r="D16" s="8">
        <v>0</v>
      </c>
      <c r="E16" s="8">
        <v>0</v>
      </c>
      <c r="F16" s="8">
        <v>0</v>
      </c>
      <c r="G16" s="8">
        <v>0</v>
      </c>
      <c r="H16" s="8">
        <v>0</v>
      </c>
    </row>
    <row r="17" spans="1:8" ht="18.75">
      <c r="A17" s="8">
        <v>1</v>
      </c>
      <c r="B17" s="9" t="s">
        <v>44</v>
      </c>
      <c r="C17" s="8" t="s">
        <v>45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</row>
    <row r="18" spans="1:8" ht="18.75">
      <c r="A18" s="8">
        <v>2</v>
      </c>
      <c r="B18" s="9" t="s">
        <v>46</v>
      </c>
      <c r="C18" s="8" t="s">
        <v>45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</row>
    <row r="19" spans="1:8" ht="18.75">
      <c r="A19" s="8">
        <v>3</v>
      </c>
      <c r="B19" s="9" t="s">
        <v>47</v>
      </c>
      <c r="C19" s="8" t="s">
        <v>2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</row>
    <row r="20" spans="1:8" ht="18.75">
      <c r="A20" s="8">
        <v>4</v>
      </c>
      <c r="B20" s="9" t="s">
        <v>48</v>
      </c>
      <c r="C20" s="8" t="s">
        <v>2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</row>
    <row r="21" spans="1:8" ht="18.75">
      <c r="A21" s="8">
        <v>5</v>
      </c>
      <c r="B21" s="9" t="s">
        <v>49</v>
      </c>
      <c r="C21" s="8" t="s">
        <v>50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</row>
    <row r="22" spans="1:8" ht="18.75">
      <c r="A22" s="6" t="s">
        <v>51</v>
      </c>
      <c r="B22" s="7" t="s">
        <v>52</v>
      </c>
      <c r="C22" s="8"/>
      <c r="D22" s="8">
        <v>0</v>
      </c>
      <c r="E22" s="8">
        <v>0</v>
      </c>
      <c r="F22" s="8">
        <v>0</v>
      </c>
      <c r="G22" s="8">
        <v>0</v>
      </c>
      <c r="H22" s="8">
        <v>0</v>
      </c>
    </row>
    <row r="23" spans="1:8" ht="18.75">
      <c r="A23" s="8">
        <v>7</v>
      </c>
      <c r="B23" s="9" t="s">
        <v>53</v>
      </c>
      <c r="C23" s="8" t="s">
        <v>54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</row>
    <row r="24" spans="1:8" ht="18.75">
      <c r="A24" s="8">
        <v>8</v>
      </c>
      <c r="B24" s="9" t="s">
        <v>55</v>
      </c>
      <c r="C24" s="8" t="s">
        <v>50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</row>
    <row r="25" spans="1:8" ht="18.75">
      <c r="A25" s="8">
        <v>9</v>
      </c>
      <c r="B25" s="9" t="s">
        <v>56</v>
      </c>
      <c r="C25" s="8" t="s">
        <v>50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</row>
    <row r="26" spans="1:8" ht="18.75">
      <c r="A26" s="8">
        <v>10</v>
      </c>
      <c r="B26" s="9" t="s">
        <v>57</v>
      </c>
      <c r="C26" s="8" t="s">
        <v>58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</row>
    <row r="27" spans="1:8" ht="18.75">
      <c r="A27" s="6" t="s">
        <v>51</v>
      </c>
      <c r="B27" s="7" t="s">
        <v>59</v>
      </c>
      <c r="C27" s="8"/>
      <c r="D27" s="8">
        <v>0</v>
      </c>
      <c r="E27" s="8">
        <v>0</v>
      </c>
      <c r="F27" s="8">
        <v>0</v>
      </c>
      <c r="G27" s="8">
        <v>0</v>
      </c>
      <c r="H27" s="8">
        <v>0</v>
      </c>
    </row>
    <row r="28" spans="1:8" ht="18.75">
      <c r="A28" s="8">
        <v>12</v>
      </c>
      <c r="B28" s="9" t="s">
        <v>60</v>
      </c>
      <c r="C28" s="8" t="s">
        <v>45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</row>
    <row r="29" spans="1:8" ht="18.75">
      <c r="A29" s="6" t="s">
        <v>61</v>
      </c>
      <c r="B29" s="7" t="s">
        <v>62</v>
      </c>
      <c r="C29" s="8" t="s">
        <v>63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</row>
    <row r="30" spans="1:8" ht="18.75">
      <c r="A30" s="10" t="s">
        <v>64</v>
      </c>
      <c r="B30" s="10"/>
      <c r="C30" s="11"/>
      <c r="D30" s="12"/>
      <c r="E30" s="12"/>
      <c r="F30" s="12"/>
      <c r="G30" s="12"/>
      <c r="H30" s="12"/>
    </row>
    <row r="31" spans="1:8" ht="18.75">
      <c r="A31" s="13"/>
      <c r="B31" s="14" t="s">
        <v>65</v>
      </c>
      <c r="C31" s="12">
        <v>20</v>
      </c>
      <c r="D31" s="12"/>
      <c r="E31" s="12"/>
      <c r="F31" s="12"/>
      <c r="G31" s="12"/>
      <c r="H31" s="12"/>
    </row>
    <row r="32" spans="1:8" ht="37.5">
      <c r="A32" s="13"/>
      <c r="B32" s="14" t="s">
        <v>66</v>
      </c>
      <c r="C32" s="12"/>
      <c r="D32" s="12"/>
      <c r="E32" s="12"/>
      <c r="F32" s="12"/>
      <c r="G32" s="12"/>
      <c r="H32" s="12"/>
    </row>
    <row r="33" spans="1:8" ht="18.75">
      <c r="A33" s="13"/>
      <c r="B33" s="14" t="s">
        <v>67</v>
      </c>
      <c r="C33" s="12">
        <v>8</v>
      </c>
      <c r="D33" s="12"/>
      <c r="E33" s="12"/>
      <c r="F33" s="12"/>
      <c r="G33" s="12"/>
      <c r="H33" s="12"/>
    </row>
    <row r="34" spans="1:8" ht="18.75">
      <c r="A34" s="13"/>
      <c r="B34" s="14" t="s">
        <v>68</v>
      </c>
      <c r="C34" s="12">
        <v>50</v>
      </c>
      <c r="D34" s="12"/>
      <c r="E34" s="12"/>
      <c r="F34" s="12"/>
      <c r="G34" s="12"/>
      <c r="H34" s="12"/>
    </row>
    <row r="35" spans="1:8" ht="18.75">
      <c r="A35" s="13"/>
      <c r="B35" s="14" t="s">
        <v>69</v>
      </c>
      <c r="C35" s="12">
        <v>1.5</v>
      </c>
      <c r="D35" s="12"/>
      <c r="E35" s="12"/>
      <c r="F35" s="12"/>
      <c r="G35" s="12"/>
      <c r="H35" s="12"/>
    </row>
    <row r="36" spans="1:8" ht="18.75">
      <c r="A36" s="10" t="s">
        <v>70</v>
      </c>
      <c r="B36" s="13"/>
      <c r="C36" s="12"/>
      <c r="D36" s="12"/>
      <c r="E36" s="12"/>
      <c r="F36" s="12"/>
      <c r="G36" s="12"/>
      <c r="H36" s="12"/>
    </row>
    <row r="37" spans="1:8" ht="18.75">
      <c r="A37" s="13"/>
      <c r="B37" s="14" t="s">
        <v>71</v>
      </c>
      <c r="C37" s="12">
        <v>8</v>
      </c>
      <c r="D37" s="12"/>
      <c r="E37" s="12"/>
      <c r="F37" s="12"/>
      <c r="G37" s="12"/>
      <c r="H37" s="12"/>
    </row>
    <row r="38" spans="1:8" ht="18.75">
      <c r="A38" s="13"/>
      <c r="B38" s="14" t="s">
        <v>72</v>
      </c>
      <c r="C38" s="12">
        <v>7.5</v>
      </c>
      <c r="D38" s="12"/>
      <c r="E38" s="12"/>
      <c r="F38" s="12"/>
      <c r="G38" s="12"/>
      <c r="H38" s="12"/>
    </row>
    <row r="39" spans="1:8" ht="18.75">
      <c r="A39" s="13"/>
      <c r="B39" s="14" t="s">
        <v>73</v>
      </c>
      <c r="C39" s="12">
        <v>9</v>
      </c>
      <c r="D39" s="12"/>
      <c r="E39" s="12"/>
      <c r="F39" s="12"/>
      <c r="G39" s="12"/>
      <c r="H39" s="12"/>
    </row>
    <row r="40" spans="1:8" ht="18.75">
      <c r="A40" s="13"/>
      <c r="B40" s="14" t="s">
        <v>74</v>
      </c>
      <c r="C40" s="12">
        <v>2</v>
      </c>
      <c r="D40" s="12"/>
      <c r="E40" s="12"/>
      <c r="F40" s="12"/>
      <c r="G40" s="12"/>
      <c r="H40" s="12"/>
    </row>
  </sheetData>
  <mergeCells count="8">
    <mergeCell ref="A1:H1"/>
    <mergeCell ref="A2:A3"/>
    <mergeCell ref="B2:B3"/>
    <mergeCell ref="C2:C3"/>
    <mergeCell ref="D2:D3"/>
    <mergeCell ref="E2:E3"/>
    <mergeCell ref="F2:F3"/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E2D6-EA1E-4D0C-8531-FB2A59F3BA70}">
  <dimension ref="A1:I18"/>
  <sheetViews>
    <sheetView tabSelected="1" workbookViewId="0">
      <selection activeCell="I9" sqref="I9"/>
    </sheetView>
  </sheetViews>
  <sheetFormatPr defaultRowHeight="15"/>
  <cols>
    <col min="2" max="2" width="33.28515625" customWidth="1"/>
    <col min="3" max="3" width="13" customWidth="1"/>
  </cols>
  <sheetData>
    <row r="1" spans="1:9" ht="21" thickBot="1">
      <c r="A1" s="15" t="s">
        <v>75</v>
      </c>
    </row>
    <row r="2" spans="1:9" ht="19.5" thickBot="1">
      <c r="A2" s="32" t="s">
        <v>1</v>
      </c>
      <c r="B2" s="32" t="s">
        <v>76</v>
      </c>
      <c r="C2" s="32" t="s">
        <v>19</v>
      </c>
      <c r="D2" s="34" t="s">
        <v>77</v>
      </c>
      <c r="E2" s="35"/>
      <c r="F2" s="36"/>
      <c r="G2" s="34" t="s">
        <v>78</v>
      </c>
      <c r="H2" s="35"/>
      <c r="I2" s="36"/>
    </row>
    <row r="3" spans="1:9" ht="19.5" thickBot="1">
      <c r="A3" s="33"/>
      <c r="B3" s="33"/>
      <c r="C3" s="33"/>
      <c r="D3" s="17" t="s">
        <v>79</v>
      </c>
      <c r="E3" s="17" t="s">
        <v>80</v>
      </c>
      <c r="F3" s="17" t="s">
        <v>81</v>
      </c>
      <c r="G3" s="17" t="s">
        <v>79</v>
      </c>
      <c r="H3" s="18" t="s">
        <v>80</v>
      </c>
      <c r="I3" s="19" t="s">
        <v>81</v>
      </c>
    </row>
    <row r="4" spans="1:9" ht="19.5" thickBot="1">
      <c r="A4" s="16" t="s">
        <v>26</v>
      </c>
      <c r="B4" s="19" t="s">
        <v>41</v>
      </c>
      <c r="C4" s="19"/>
      <c r="D4" s="17"/>
      <c r="E4" s="17"/>
      <c r="F4" s="17"/>
      <c r="G4" s="17"/>
      <c r="H4" s="18"/>
      <c r="I4" s="19"/>
    </row>
    <row r="5" spans="1:9" ht="19.5" thickBot="1">
      <c r="A5" s="16"/>
      <c r="B5" s="19" t="s">
        <v>43</v>
      </c>
      <c r="C5" s="19"/>
      <c r="D5" s="17"/>
      <c r="E5" s="17"/>
      <c r="F5" s="17"/>
      <c r="G5" s="17"/>
      <c r="H5" s="18"/>
      <c r="I5" s="19"/>
    </row>
    <row r="6" spans="1:9" ht="19.5" thickBot="1">
      <c r="A6" s="20">
        <v>1</v>
      </c>
      <c r="B6" s="21" t="s">
        <v>82</v>
      </c>
      <c r="C6" s="22" t="s">
        <v>83</v>
      </c>
      <c r="D6" s="22">
        <f>F6-E6</f>
        <v>-5</v>
      </c>
      <c r="E6" s="23">
        <v>5</v>
      </c>
      <c r="F6" s="22">
        <f>ChiLenhHCKT!E17</f>
        <v>0</v>
      </c>
      <c r="G6" s="22">
        <f>I6-H6</f>
        <v>-3</v>
      </c>
      <c r="H6" s="23">
        <v>3</v>
      </c>
      <c r="I6" s="22">
        <f>ChiLenhHCKT!F17</f>
        <v>0</v>
      </c>
    </row>
    <row r="7" spans="1:9" ht="19.5" thickBot="1">
      <c r="A7" s="20">
        <v>2</v>
      </c>
      <c r="B7" s="21" t="s">
        <v>46</v>
      </c>
      <c r="C7" s="22" t="s">
        <v>50</v>
      </c>
      <c r="D7" s="22">
        <f t="shared" ref="D7:D18" si="0">F7-E7</f>
        <v>-2</v>
      </c>
      <c r="E7" s="23">
        <v>2</v>
      </c>
      <c r="F7" s="22">
        <f>ChiLenhHCKT!E18</f>
        <v>0</v>
      </c>
      <c r="G7" s="22">
        <f t="shared" ref="G7:G18" si="1">I7-H7</f>
        <v>-1</v>
      </c>
      <c r="H7" s="23">
        <v>1</v>
      </c>
      <c r="I7" s="22">
        <f>ChiLenhHCKT!F18</f>
        <v>0</v>
      </c>
    </row>
    <row r="8" spans="1:9" ht="19.5" thickBot="1">
      <c r="A8" s="20">
        <v>3</v>
      </c>
      <c r="B8" s="21" t="s">
        <v>84</v>
      </c>
      <c r="C8" s="22" t="s">
        <v>2</v>
      </c>
      <c r="D8" s="22">
        <f t="shared" si="0"/>
        <v>-11</v>
      </c>
      <c r="E8" s="23">
        <v>11</v>
      </c>
      <c r="F8" s="22">
        <f>ChiLenhHCKT!E19</f>
        <v>0</v>
      </c>
      <c r="G8" s="22">
        <f t="shared" si="1"/>
        <v>-5</v>
      </c>
      <c r="H8" s="23">
        <v>5</v>
      </c>
      <c r="I8" s="22">
        <f>ChiLenhHCKT!F19</f>
        <v>0</v>
      </c>
    </row>
    <row r="9" spans="1:9" ht="19.5" thickBot="1">
      <c r="A9" s="20">
        <v>4</v>
      </c>
      <c r="B9" s="21" t="s">
        <v>85</v>
      </c>
      <c r="C9" s="22" t="s">
        <v>2</v>
      </c>
      <c r="D9" s="22">
        <f t="shared" si="0"/>
        <v>-100</v>
      </c>
      <c r="E9" s="23">
        <v>100</v>
      </c>
      <c r="F9" s="22">
        <f>ChiLenhHCKT!E20</f>
        <v>0</v>
      </c>
      <c r="G9" s="22">
        <f t="shared" si="1"/>
        <v>-100</v>
      </c>
      <c r="H9" s="23">
        <v>100</v>
      </c>
      <c r="I9" s="22">
        <f>ChiLenhHCKT!F20</f>
        <v>0</v>
      </c>
    </row>
    <row r="10" spans="1:9" ht="19.5" thickBot="1">
      <c r="A10" s="20">
        <v>5</v>
      </c>
      <c r="B10" s="21" t="s">
        <v>86</v>
      </c>
      <c r="C10" s="22" t="s">
        <v>50</v>
      </c>
      <c r="D10" s="22">
        <f t="shared" si="0"/>
        <v>-100</v>
      </c>
      <c r="E10" s="23">
        <v>100</v>
      </c>
      <c r="F10" s="22">
        <f>ChiLenhHCKT!E21</f>
        <v>0</v>
      </c>
      <c r="G10" s="22">
        <f t="shared" si="1"/>
        <v>-100</v>
      </c>
      <c r="H10" s="23">
        <v>100</v>
      </c>
      <c r="I10" s="22">
        <f>ChiLenhHCKT!F21</f>
        <v>0</v>
      </c>
    </row>
    <row r="11" spans="1:9" ht="19.5" thickBot="1">
      <c r="A11" s="20"/>
      <c r="B11" s="19" t="s">
        <v>52</v>
      </c>
      <c r="C11" s="22"/>
      <c r="D11" s="22"/>
      <c r="E11" s="23"/>
      <c r="F11" s="22">
        <f>ChiLenhHCKT!E22</f>
        <v>0</v>
      </c>
      <c r="G11" s="22"/>
      <c r="H11" s="23"/>
      <c r="I11" s="22">
        <f>ChiLenhHCKT!F22</f>
        <v>0</v>
      </c>
    </row>
    <row r="12" spans="1:9" ht="19.5" thickBot="1">
      <c r="A12" s="20">
        <v>7</v>
      </c>
      <c r="B12" s="21" t="s">
        <v>53</v>
      </c>
      <c r="C12" s="22" t="s">
        <v>54</v>
      </c>
      <c r="D12" s="22">
        <f t="shared" si="0"/>
        <v>-3</v>
      </c>
      <c r="E12" s="23">
        <v>3</v>
      </c>
      <c r="F12" s="22">
        <f>ChiLenhHCKT!E23</f>
        <v>0</v>
      </c>
      <c r="G12" s="22">
        <f t="shared" si="1"/>
        <v>-1</v>
      </c>
      <c r="H12" s="23">
        <v>1</v>
      </c>
      <c r="I12" s="22">
        <f>ChiLenhHCKT!F23</f>
        <v>0</v>
      </c>
    </row>
    <row r="13" spans="1:9" ht="19.5" thickBot="1">
      <c r="A13" s="20">
        <v>8</v>
      </c>
      <c r="B13" s="21" t="s">
        <v>55</v>
      </c>
      <c r="C13" s="22" t="s">
        <v>50</v>
      </c>
      <c r="D13" s="22">
        <f t="shared" si="0"/>
        <v>-16</v>
      </c>
      <c r="E13" s="23">
        <v>16</v>
      </c>
      <c r="F13" s="22">
        <f>ChiLenhHCKT!E24</f>
        <v>0</v>
      </c>
      <c r="G13" s="22">
        <f t="shared" si="1"/>
        <v>-6</v>
      </c>
      <c r="H13" s="23">
        <v>6</v>
      </c>
      <c r="I13" s="22">
        <f>ChiLenhHCKT!F24</f>
        <v>0</v>
      </c>
    </row>
    <row r="14" spans="1:9" ht="19.5" thickBot="1">
      <c r="A14" s="20">
        <v>9</v>
      </c>
      <c r="B14" s="21" t="s">
        <v>56</v>
      </c>
      <c r="C14" s="22" t="s">
        <v>50</v>
      </c>
      <c r="D14" s="22">
        <f t="shared" si="0"/>
        <v>-23</v>
      </c>
      <c r="E14" s="23">
        <v>23</v>
      </c>
      <c r="F14" s="22">
        <f>ChiLenhHCKT!E25</f>
        <v>0</v>
      </c>
      <c r="G14" s="22">
        <f t="shared" si="1"/>
        <v>-9</v>
      </c>
      <c r="H14" s="23">
        <v>9</v>
      </c>
      <c r="I14" s="22">
        <f>ChiLenhHCKT!F25</f>
        <v>0</v>
      </c>
    </row>
    <row r="15" spans="1:9" ht="19.5" thickBot="1">
      <c r="A15" s="20">
        <v>10</v>
      </c>
      <c r="B15" s="21" t="s">
        <v>57</v>
      </c>
      <c r="C15" s="22" t="s">
        <v>87</v>
      </c>
      <c r="D15" s="22">
        <f t="shared" si="0"/>
        <v>-1</v>
      </c>
      <c r="E15" s="23">
        <v>1</v>
      </c>
      <c r="F15" s="22">
        <f>ChiLenhHCKT!E26</f>
        <v>0</v>
      </c>
      <c r="G15" s="22">
        <f t="shared" si="1"/>
        <v>-1</v>
      </c>
      <c r="H15" s="23">
        <v>1</v>
      </c>
      <c r="I15" s="22">
        <f>ChiLenhHCKT!F26</f>
        <v>0</v>
      </c>
    </row>
    <row r="16" spans="1:9" ht="19.5" thickBot="1">
      <c r="A16" s="20"/>
      <c r="B16" s="19" t="s">
        <v>88</v>
      </c>
      <c r="C16" s="22"/>
      <c r="D16" s="22"/>
      <c r="E16" s="23"/>
      <c r="F16" s="22">
        <f>ChiLenhHCKT!E27</f>
        <v>0</v>
      </c>
      <c r="G16" s="22"/>
      <c r="H16" s="23"/>
      <c r="I16" s="22">
        <f>ChiLenhHCKT!F27</f>
        <v>0</v>
      </c>
    </row>
    <row r="17" spans="1:9" ht="19.5" thickBot="1">
      <c r="A17" s="20">
        <v>11</v>
      </c>
      <c r="B17" s="21" t="s">
        <v>60</v>
      </c>
      <c r="C17" s="22" t="s">
        <v>45</v>
      </c>
      <c r="D17" s="22">
        <f t="shared" si="0"/>
        <v>-5</v>
      </c>
      <c r="E17" s="23">
        <v>5</v>
      </c>
      <c r="F17" s="22">
        <f>ChiLenhHCKT!E28</f>
        <v>0</v>
      </c>
      <c r="G17" s="22">
        <f t="shared" si="1"/>
        <v>-3</v>
      </c>
      <c r="H17" s="23">
        <v>3</v>
      </c>
      <c r="I17" s="22">
        <f>ChiLenhHCKT!F28</f>
        <v>0</v>
      </c>
    </row>
    <row r="18" spans="1:9" ht="19.5" thickBot="1">
      <c r="A18" s="20" t="s">
        <v>89</v>
      </c>
      <c r="B18" s="18" t="s">
        <v>62</v>
      </c>
      <c r="C18" s="22" t="s">
        <v>63</v>
      </c>
      <c r="D18" s="22">
        <f t="shared" si="0"/>
        <v>-0.1</v>
      </c>
      <c r="E18" s="23">
        <v>0.1</v>
      </c>
      <c r="F18" s="22">
        <f>ChiLenhHCKT!E29</f>
        <v>0</v>
      </c>
      <c r="G18" s="22">
        <f t="shared" si="1"/>
        <v>-0.1</v>
      </c>
      <c r="H18" s="23">
        <v>0.1</v>
      </c>
      <c r="I18" s="22">
        <f>ChiLenhHCKT!F29</f>
        <v>0</v>
      </c>
    </row>
  </sheetData>
  <mergeCells count="5">
    <mergeCell ref="A2:A3"/>
    <mergeCell ref="B2:B3"/>
    <mergeCell ref="C2:C3"/>
    <mergeCell ref="D2:F2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BaoDamQuanY</vt:lpstr>
      <vt:lpstr>ChiLenhHCKT</vt:lpstr>
      <vt:lpstr>PhanCapVCHC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Thế Nguyên</dc:creator>
  <cp:lastModifiedBy>Nguyen Thi Thanh Huyen</cp:lastModifiedBy>
  <dcterms:created xsi:type="dcterms:W3CDTF">2025-12-02T15:26:00Z</dcterms:created>
  <dcterms:modified xsi:type="dcterms:W3CDTF">2026-03-11T11:39:40Z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EA5910DF0ACF4499B29763509B539F6C_12</vt:lpwstr>
  </property>
  <property fmtid="{D5CDD505-2E9C-101B-9397-08002B2CF9AE}" pid="3" name="KSOProductBuildVer">
    <vt:lpwstr>1033-12.2.0.23196</vt:lpwstr>
  </property>
</Properties>
</file>