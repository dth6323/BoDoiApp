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BODOIAPP\Resources\Sheet\"/>
    </mc:Choice>
  </mc:AlternateContent>
  <xr:revisionPtr revIDLastSave="0" documentId="13_ncr:1_{D9C417D1-D394-4A97-9196-B3E1B8B64DC1}" xr6:coauthVersionLast="47" xr6:coauthVersionMax="47" xr10:uidLastSave="{00000000-0000-0000-0000-000000000000}"/>
  <bookViews>
    <workbookView xWindow="-108" yWindow="-108" windowWidth="23256" windowHeight="12456" tabRatio="579" xr2:uid="{00000000-000D-0000-FFFF-FFFF00000000}"/>
  </bookViews>
  <sheets>
    <sheet name="QSTBKT" sheetId="1" r:id="rId1"/>
    <sheet name="TiLeVuKhiHuHong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I7" i="5" s="1"/>
  <c r="C12" i="5"/>
  <c r="I12" i="5" s="1"/>
  <c r="C11" i="5"/>
  <c r="I11" i="5" s="1"/>
  <c r="C10" i="5"/>
  <c r="I10" i="5" s="1"/>
  <c r="C9" i="5"/>
  <c r="I9" i="5" s="1"/>
  <c r="C8" i="5"/>
  <c r="C6" i="5"/>
  <c r="I6" i="5" s="1"/>
  <c r="C5" i="5"/>
  <c r="I5" i="5" s="1"/>
  <c r="F5" i="5" s="1"/>
  <c r="N5" i="5" s="1"/>
  <c r="C4" i="5"/>
  <c r="I4" i="5" s="1"/>
  <c r="E4" i="5" s="1"/>
  <c r="M4" i="5" s="1"/>
  <c r="C3" i="5"/>
  <c r="I3" i="5" s="1"/>
  <c r="G3" i="5" s="1"/>
  <c r="O3" i="5" s="1"/>
  <c r="L12" i="5"/>
  <c r="L11" i="5"/>
  <c r="L10" i="5"/>
  <c r="L9" i="5"/>
  <c r="L8" i="5"/>
  <c r="I8" i="5"/>
  <c r="L7" i="5"/>
  <c r="L6" i="5"/>
  <c r="L5" i="5"/>
  <c r="L4" i="5"/>
  <c r="L3" i="5"/>
  <c r="G12" i="5" l="1"/>
  <c r="O12" i="5" s="1"/>
  <c r="E12" i="5"/>
  <c r="M12" i="5" s="1"/>
  <c r="F12" i="5"/>
  <c r="N12" i="5" s="1"/>
  <c r="E11" i="5"/>
  <c r="M11" i="5" s="1"/>
  <c r="F11" i="5"/>
  <c r="N11" i="5" s="1"/>
  <c r="G11" i="5"/>
  <c r="O11" i="5" s="1"/>
  <c r="F8" i="5"/>
  <c r="N8" i="5" s="1"/>
  <c r="E8" i="5"/>
  <c r="M8" i="5" s="1"/>
  <c r="G8" i="5"/>
  <c r="O8" i="5" s="1"/>
  <c r="F9" i="5"/>
  <c r="N9" i="5" s="1"/>
  <c r="G9" i="5"/>
  <c r="O9" i="5" s="1"/>
  <c r="E9" i="5"/>
  <c r="M9" i="5" s="1"/>
  <c r="G10" i="5"/>
  <c r="O10" i="5" s="1"/>
  <c r="F10" i="5"/>
  <c r="N10" i="5" s="1"/>
  <c r="E10" i="5"/>
  <c r="M10" i="5" s="1"/>
  <c r="G6" i="5"/>
  <c r="O6" i="5" s="1"/>
  <c r="F6" i="5"/>
  <c r="N6" i="5" s="1"/>
  <c r="E6" i="5"/>
  <c r="M6" i="5" s="1"/>
  <c r="E7" i="5"/>
  <c r="M7" i="5" s="1"/>
  <c r="G7" i="5"/>
  <c r="O7" i="5" s="1"/>
  <c r="F7" i="5"/>
  <c r="N7" i="5" s="1"/>
  <c r="E3" i="5"/>
  <c r="F4" i="5"/>
  <c r="N4" i="5" s="1"/>
  <c r="G5" i="5"/>
  <c r="O5" i="5" s="1"/>
  <c r="F3" i="5"/>
  <c r="N3" i="5" s="1"/>
  <c r="G4" i="5"/>
  <c r="O4" i="5" s="1"/>
  <c r="E5" i="5"/>
  <c r="M5" i="5" s="1"/>
  <c r="H12" i="5" l="1"/>
  <c r="P12" i="5" s="1"/>
  <c r="H4" i="5"/>
  <c r="P4" i="5" s="1"/>
  <c r="H9" i="5"/>
  <c r="P9" i="5" s="1"/>
  <c r="H5" i="5"/>
  <c r="P5" i="5" s="1"/>
  <c r="H7" i="5"/>
  <c r="P7" i="5" s="1"/>
  <c r="H6" i="5"/>
  <c r="P6" i="5" s="1"/>
  <c r="H3" i="5"/>
  <c r="P3" i="5" s="1"/>
  <c r="M3" i="5"/>
  <c r="H8" i="5"/>
  <c r="P8" i="5" s="1"/>
  <c r="H10" i="5"/>
  <c r="P10" i="5" s="1"/>
  <c r="H11" i="5"/>
  <c r="P11" i="5" s="1"/>
</calcChain>
</file>

<file path=xl/sharedStrings.xml><?xml version="1.0" encoding="utf-8"?>
<sst xmlns="http://schemas.openxmlformats.org/spreadsheetml/2006/main" count="83" uniqueCount="62">
  <si>
    <t>+</t>
  </si>
  <si>
    <t>B41</t>
  </si>
  <si>
    <t>Súng ngắn</t>
  </si>
  <si>
    <t>TT</t>
  </si>
  <si>
    <t>Loại VKTBKT</t>
  </si>
  <si>
    <t>Số lượng TBKT tham gia CĐ</t>
  </si>
  <si>
    <r>
      <t xml:space="preserve">Dự kiến tỷ lệ hư hỏng 1 ngày đêm </t>
    </r>
    <r>
      <rPr>
        <sz val="11"/>
        <color theme="1"/>
        <rFont val="Times New Roman"/>
        <family val="1"/>
      </rPr>
      <t>(%)</t>
    </r>
  </si>
  <si>
    <t>Tổng số TBKT hư hỏng</t>
  </si>
  <si>
    <t>Khả năng sửa chữa trong 1 ngày đêm</t>
  </si>
  <si>
    <t>Còn lại chưa sửa chữa được</t>
  </si>
  <si>
    <t>Nhẹ</t>
  </si>
  <si>
    <t>Vừa</t>
  </si>
  <si>
    <t>Nặng</t>
  </si>
  <si>
    <t>Hủy</t>
  </si>
  <si>
    <t>Nhỏ</t>
  </si>
  <si>
    <t>Lớn</t>
  </si>
  <si>
    <t>SMPK 12,7</t>
  </si>
  <si>
    <t>SPG-9</t>
  </si>
  <si>
    <t>Tiểu liên</t>
  </si>
  <si>
    <t>Trung liên</t>
  </si>
  <si>
    <t>Đại liên</t>
  </si>
  <si>
    <t>Cối 100</t>
  </si>
  <si>
    <t>Cối 82</t>
  </si>
  <si>
    <t>Cối 60</t>
  </si>
  <si>
    <t>LỰC LƯỢNG</t>
  </si>
  <si>
    <t>1. Trong biên chế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</si>
  <si>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</si>
  <si>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</si>
  <si>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</si>
  <si>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</si>
  <si>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</si>
  <si>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</si>
  <si>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</si>
  <si>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bHH/f</t>
  </si>
  <si>
    <t>1 c CB(-)/e</t>
  </si>
  <si>
    <t>1 tổ SC/e</t>
  </si>
  <si>
    <t>cBB7/dBB2</t>
  </si>
  <si>
    <t>Tổng</t>
  </si>
  <si>
    <t>cBB1</t>
  </si>
  <si>
    <t>2. LL tăng cường</t>
  </si>
  <si>
    <t>1 b SPG-9/e</t>
  </si>
  <si>
    <t>cCo82(-)/d</t>
  </si>
  <si>
    <t>b SMPK 12,7mm/e</t>
  </si>
  <si>
    <t>cBB2 (-)</t>
  </si>
  <si>
    <t>Y tá/d</t>
  </si>
  <si>
    <t>Nuôi quân/d</t>
  </si>
  <si>
    <t>a VTB</t>
  </si>
  <si>
    <t>cBB7</t>
  </si>
  <si>
    <t>1bSPG9/d</t>
  </si>
  <si>
    <t>1bCo82/d</t>
  </si>
  <si>
    <t>1bSMPK12,7</t>
  </si>
  <si>
    <t>Nuôi quân</t>
  </si>
  <si>
    <t>cBB3</t>
  </si>
  <si>
    <t xml:space="preserve">Nuôi quân </t>
  </si>
  <si>
    <t>Lực lượng còn lại</t>
  </si>
  <si>
    <t>2. Lực lượng tăng cường</t>
  </si>
  <si>
    <t>1cCo100mm/e</t>
  </si>
  <si>
    <t>1cSPG-9/e</t>
  </si>
  <si>
    <t>1cSMPK12,7mm/e</t>
  </si>
  <si>
    <t>1cCB(-)/e</t>
  </si>
  <si>
    <t>1bHH/f</t>
  </si>
  <si>
    <t>1bVTB/e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</si>
</sst>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3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2" fillId="0" borderId="1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abSelected="1" zoomScale="101" zoomScaleNormal="40" workbookViewId="0">
      <selection activeCell="C13" sqref="C13"/>
    </sheetView>
  </sheetViews>
  <sheetFormatPr defaultColWidth="9.33203125" defaultRowHeight="18"/>
  <cols>
    <col min="1" max="1" width="28.109375" style="1" customWidth="1"/>
    <col min="2" max="2" width="9.33203125" style="1"/>
    <col min="3" max="13" width="8.6640625" style="1" customWidth="1"/>
    <col min="14" max="15" width="9.6640625" style="26" customWidth="1"/>
    <col min="16" max="17" width="9.33203125" style="1"/>
    <col min="18" max="18" width="15.109375" style="1" bestFit="1" customWidth="1"/>
    <col min="19" max="19" width="9.33203125" style="1"/>
    <col min="20" max="20" width="12.5546875" style="1" customWidth="1"/>
    <col min="21" max="16384" width="9.33203125" style="1"/>
  </cols>
  <sheetData>
    <row r="1" spans="1:3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3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32">
      <c r="A3" s="40" t="s">
        <v>24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41"/>
    </row>
    <row r="4" spans="1:32" ht="33.6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2"/>
      <c r="M4" s="2"/>
      <c r="N4" s="3"/>
      <c r="O4" s="3"/>
    </row>
    <row r="5" spans="1:32">
      <c r="A5" s="40"/>
      <c r="B5" s="40"/>
      <c r="C5" s="2"/>
      <c r="D5" s="2"/>
      <c r="E5" s="2"/>
      <c r="F5" s="2"/>
      <c r="G5" s="2"/>
      <c r="H5" s="40"/>
      <c r="I5" s="2"/>
      <c r="J5" s="2"/>
      <c r="K5" s="2"/>
      <c r="L5" s="2"/>
      <c r="M5" s="2"/>
      <c r="N5" s="4"/>
      <c r="O5" s="4"/>
    </row>
    <row r="6" spans="1:32">
      <c r="A6" s="5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32" ht="18.899999999999999" customHeight="1">
      <c r="A7" s="6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</row>
    <row r="8" spans="1:32">
      <c r="A8" s="5" t="s">
        <v>27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32">
      <c r="A9" s="8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4"/>
      <c r="O9" s="4"/>
    </row>
    <row r="10" spans="1:32">
      <c r="A10" s="8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4"/>
      <c r="O10" s="4"/>
    </row>
    <row r="11" spans="1:32">
      <c r="A11" s="8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4"/>
      <c r="O11" s="4"/>
    </row>
    <row r="12" spans="1:32">
      <c r="A12" s="8" t="s">
        <v>31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4"/>
      <c r="O12" s="4"/>
    </row>
    <row r="13" spans="1:32">
      <c r="A13" s="9" t="s">
        <v>32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4"/>
      <c r="O13" s="4"/>
    </row>
    <row r="14" spans="1:32">
      <c r="A14" s="9" t="s">
        <v>33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4"/>
      <c r="O14" s="4"/>
    </row>
    <row r="15" spans="1:32">
      <c r="A15" s="8" t="s">
        <v>34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4"/>
      <c r="O15" s="4"/>
    </row>
    <row r="16" spans="1:32">
      <c r="A16" s="8" t="s">
        <v>35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4"/>
      <c r="O16" s="4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>
      <c r="A17" s="13" t="s">
        <v>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/>
      <c r="O17" s="4"/>
      <c r="Q17" s="14"/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4"/>
      <c r="O18" s="4"/>
      <c r="Q18" s="18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>
      <c r="A19" s="20" t="s">
        <v>37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Q19" s="18"/>
      <c r="R19" s="19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Q20" s="12"/>
      <c r="R20" s="2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8.4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Q21" s="14"/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40" t="s">
        <v>24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2"/>
      <c r="O22" s="42"/>
      <c r="Q22" s="14"/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2"/>
      <c r="M23" s="2"/>
      <c r="N23" s="3"/>
      <c r="O23" s="3"/>
    </row>
    <row r="24" spans="1:32">
      <c r="A24" s="40"/>
      <c r="B24" s="40"/>
      <c r="C24" s="2"/>
      <c r="D24" s="2"/>
      <c r="E24" s="2"/>
      <c r="F24" s="2"/>
      <c r="G24" s="2"/>
      <c r="H24" s="40"/>
      <c r="I24" s="2"/>
      <c r="J24" s="2"/>
      <c r="K24" s="2"/>
      <c r="L24" s="2"/>
      <c r="M24" s="2"/>
      <c r="N24" s="4"/>
      <c r="O24" s="4"/>
    </row>
    <row r="25" spans="1:32">
      <c r="A25" s="5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32">
      <c r="A26" s="6" t="s">
        <v>38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4"/>
      <c r="O26" s="4"/>
    </row>
    <row r="27" spans="1:32">
      <c r="A27" s="5" t="s">
        <v>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32">
      <c r="A28" s="8" t="s">
        <v>40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4"/>
      <c r="O28" s="4"/>
    </row>
    <row r="29" spans="1:32">
      <c r="A29" s="8" t="s">
        <v>41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4"/>
      <c r="O29" s="4"/>
    </row>
    <row r="30" spans="1:32">
      <c r="A30" s="8" t="s">
        <v>42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4"/>
      <c r="O30" s="4"/>
    </row>
    <row r="31" spans="1:32">
      <c r="A31" s="8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4"/>
      <c r="O31" s="4"/>
    </row>
    <row r="32" spans="1:32">
      <c r="A32" s="9" t="s">
        <v>44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4"/>
      <c r="O32" s="4"/>
    </row>
    <row r="33" spans="1:15">
      <c r="A33" s="9" t="s">
        <v>45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4"/>
      <c r="O33" s="4"/>
    </row>
    <row r="34" spans="1:15">
      <c r="A34" s="8" t="s">
        <v>46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4"/>
      <c r="O34" s="4"/>
    </row>
    <row r="36" spans="1:15">
      <c r="A36" s="20" t="s">
        <v>37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</row>
    <row r="38" spans="1:15" ht="18.4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</row>
    <row r="39" spans="1:15">
      <c r="A39" s="40" t="s">
        <v>24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2"/>
      <c r="O39" s="42"/>
    </row>
    <row r="40" spans="1:1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2"/>
      <c r="M40" s="2"/>
      <c r="N40" s="3"/>
      <c r="O40" s="3"/>
    </row>
    <row r="41" spans="1:15">
      <c r="A41" s="40"/>
      <c r="B41" s="40"/>
      <c r="C41" s="2"/>
      <c r="D41" s="2"/>
      <c r="E41" s="2"/>
      <c r="F41" s="2"/>
      <c r="G41" s="2"/>
      <c r="H41" s="40"/>
      <c r="I41" s="2"/>
      <c r="J41" s="2"/>
      <c r="K41" s="2"/>
      <c r="L41" s="2"/>
      <c r="M41" s="2"/>
      <c r="N41" s="4"/>
      <c r="O41" s="4"/>
    </row>
    <row r="42" spans="1:15">
      <c r="A42" s="5" t="s">
        <v>25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6" t="s">
        <v>47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4"/>
      <c r="O43" s="4"/>
    </row>
    <row r="44" spans="1:15">
      <c r="A44" s="5" t="s">
        <v>39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8" t="s">
        <v>48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4"/>
      <c r="O45" s="4"/>
    </row>
    <row r="46" spans="1:15">
      <c r="A46" s="8" t="s">
        <v>49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4"/>
      <c r="O46" s="4"/>
    </row>
    <row r="47" spans="1:15">
      <c r="A47" s="8" t="s">
        <v>50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4"/>
      <c r="O47" s="4"/>
    </row>
    <row r="48" spans="1:15">
      <c r="A48" s="8" t="s">
        <v>51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4"/>
      <c r="O48" s="4"/>
    </row>
    <row r="49" spans="1:15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>
      <c r="A51" s="20" t="s">
        <v>37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ht="18.4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1:1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1:15">
      <c r="A54" s="40" t="s">
        <v>24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2"/>
      <c r="O54" s="42"/>
    </row>
    <row r="55" spans="1:1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2"/>
      <c r="M55" s="2"/>
      <c r="N55" s="3"/>
      <c r="O55" s="3"/>
    </row>
    <row r="56" spans="1:15">
      <c r="A56" s="40"/>
      <c r="B56" s="40"/>
      <c r="C56" s="2"/>
      <c r="D56" s="2"/>
      <c r="E56" s="2"/>
      <c r="F56" s="2"/>
      <c r="G56" s="2"/>
      <c r="H56" s="40"/>
      <c r="I56" s="2"/>
      <c r="J56" s="2"/>
      <c r="K56" s="2"/>
      <c r="L56" s="2"/>
      <c r="M56" s="2"/>
      <c r="N56" s="4"/>
      <c r="O56" s="4"/>
    </row>
    <row r="57" spans="1:15">
      <c r="A57" s="5" t="s">
        <v>25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6" t="s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4"/>
      <c r="O58" s="4"/>
    </row>
    <row r="59" spans="1:15">
      <c r="A59" s="5" t="s">
        <v>39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8.45" customHeight="1">
      <c r="A60" s="8" t="s">
        <v>53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4"/>
      <c r="O60" s="4"/>
    </row>
    <row r="61" spans="1:15" ht="18.45" customHeight="1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4"/>
      <c r="O61" s="4"/>
    </row>
    <row r="62" spans="1:15">
      <c r="A62" s="20" t="s">
        <v>37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</row>
    <row r="64" spans="1:1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</row>
    <row r="65" spans="1:15">
      <c r="A65" s="40" t="s">
        <v>24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2"/>
      <c r="O65" s="42"/>
    </row>
    <row r="66" spans="1:1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2"/>
      <c r="M66" s="2"/>
      <c r="N66" s="3"/>
      <c r="O66" s="3"/>
    </row>
    <row r="67" spans="1:15">
      <c r="A67" s="40"/>
      <c r="B67" s="40"/>
      <c r="C67" s="2"/>
      <c r="D67" s="2"/>
      <c r="E67" s="2"/>
      <c r="F67" s="2"/>
      <c r="G67" s="2"/>
      <c r="H67" s="40"/>
      <c r="I67" s="2"/>
      <c r="J67" s="2"/>
      <c r="K67" s="2"/>
      <c r="L67" s="2"/>
      <c r="M67" s="2"/>
      <c r="N67" s="4"/>
      <c r="O67" s="4"/>
    </row>
    <row r="68" spans="1:15">
      <c r="A68" s="5" t="s">
        <v>25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>
      <c r="A69" s="25" t="s">
        <v>54</v>
      </c>
      <c r="B69" s="25"/>
      <c r="C69" s="25"/>
      <c r="D69" s="25"/>
      <c r="E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34.799999999999997">
      <c r="A70" s="5" t="s">
        <v>55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>
      <c r="A71" s="8" t="s">
        <v>56</v>
      </c>
      <c r="B71" s="7"/>
      <c r="C71" s="7"/>
      <c r="D71" s="7"/>
      <c r="E71" s="7"/>
      <c r="G71" s="7"/>
      <c r="H71" s="7"/>
      <c r="I71" s="7"/>
      <c r="J71" s="7"/>
      <c r="K71" s="7"/>
      <c r="L71" s="7"/>
      <c r="M71" s="7"/>
      <c r="N71" s="4"/>
      <c r="O71" s="4"/>
    </row>
    <row r="72" spans="1:15">
      <c r="A72" s="8" t="s">
        <v>57</v>
      </c>
      <c r="B72" s="7"/>
      <c r="C72" s="7"/>
      <c r="D72" s="7"/>
      <c r="E72" s="7"/>
      <c r="G72" s="7"/>
      <c r="H72" s="7"/>
      <c r="I72" s="7"/>
      <c r="J72" s="7"/>
      <c r="K72" s="7"/>
      <c r="L72" s="7"/>
      <c r="M72" s="7"/>
      <c r="N72" s="4"/>
      <c r="O72" s="4"/>
    </row>
    <row r="73" spans="1:15">
      <c r="A73" s="8" t="s">
        <v>58</v>
      </c>
      <c r="B73" s="7"/>
      <c r="C73" s="7"/>
      <c r="D73" s="7"/>
      <c r="E73" s="7"/>
      <c r="G73" s="7"/>
      <c r="H73" s="7"/>
      <c r="I73" s="7"/>
      <c r="J73" s="7"/>
      <c r="K73" s="7"/>
      <c r="L73" s="7"/>
      <c r="M73" s="7"/>
      <c r="N73" s="4"/>
      <c r="O73" s="4"/>
    </row>
    <row r="74" spans="1:15">
      <c r="A74" s="8" t="s">
        <v>59</v>
      </c>
      <c r="B74" s="7"/>
      <c r="C74" s="7"/>
      <c r="D74" s="7"/>
      <c r="E74" s="7"/>
      <c r="G74" s="7"/>
      <c r="H74" s="7"/>
      <c r="I74" s="7"/>
      <c r="J74" s="7"/>
      <c r="K74" s="7"/>
      <c r="L74" s="7"/>
      <c r="M74" s="7"/>
      <c r="N74" s="4"/>
      <c r="O74" s="4"/>
    </row>
    <row r="75" spans="1:15">
      <c r="A75" s="9" t="s">
        <v>60</v>
      </c>
      <c r="B75" s="10"/>
      <c r="C75" s="10"/>
      <c r="D75" s="10"/>
      <c r="E75" s="10"/>
      <c r="G75" s="10"/>
      <c r="H75" s="10"/>
      <c r="I75" s="10"/>
      <c r="J75" s="10"/>
      <c r="K75" s="10"/>
      <c r="L75" s="10"/>
      <c r="M75" s="10"/>
      <c r="N75" s="4"/>
      <c r="O75" s="4"/>
    </row>
    <row r="76" spans="1:15">
      <c r="A76" s="9" t="s">
        <v>32</v>
      </c>
      <c r="B76" s="10"/>
      <c r="C76" s="10"/>
      <c r="D76" s="10"/>
      <c r="E76" s="10"/>
      <c r="G76" s="10"/>
      <c r="H76" s="10"/>
      <c r="I76" s="10"/>
      <c r="J76" s="10"/>
      <c r="K76" s="10"/>
      <c r="L76" s="10"/>
      <c r="M76" s="10"/>
      <c r="N76" s="4"/>
      <c r="O76" s="4"/>
    </row>
    <row r="77" spans="1:15">
      <c r="A77" s="9" t="s">
        <v>61</v>
      </c>
      <c r="B77" s="10"/>
      <c r="C77" s="10"/>
      <c r="D77" s="10"/>
      <c r="E77" s="10"/>
      <c r="G77" s="10"/>
      <c r="H77" s="10"/>
      <c r="I77" s="10"/>
      <c r="J77" s="10"/>
      <c r="K77" s="10"/>
      <c r="L77" s="10"/>
      <c r="M77" s="10"/>
      <c r="N77" s="4"/>
      <c r="O77" s="4"/>
    </row>
    <row r="78" spans="1:15">
      <c r="A78" s="8" t="s">
        <v>35</v>
      </c>
      <c r="B78" s="7"/>
      <c r="C78" s="7"/>
      <c r="D78" s="7"/>
      <c r="E78" s="7"/>
      <c r="G78" s="7"/>
      <c r="H78" s="7"/>
      <c r="I78" s="7"/>
      <c r="J78" s="7"/>
      <c r="K78" s="7"/>
      <c r="L78" s="7"/>
      <c r="M78" s="7"/>
      <c r="N78" s="4"/>
      <c r="O78" s="4"/>
    </row>
    <row r="79" spans="1:15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4"/>
      <c r="O79" s="4"/>
    </row>
    <row r="80" spans="1:15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4"/>
      <c r="O80" s="4"/>
    </row>
    <row r="81" spans="1:15">
      <c r="A81" s="20" t="s">
        <v>37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</sheetData>
  <mergeCells count="40">
    <mergeCell ref="A63:O64"/>
    <mergeCell ref="A65:A67"/>
    <mergeCell ref="B65:B67"/>
    <mergeCell ref="C65:M65"/>
    <mergeCell ref="N65:O65"/>
    <mergeCell ref="C66:G66"/>
    <mergeCell ref="H66:H67"/>
    <mergeCell ref="I66:K66"/>
    <mergeCell ref="A52:O53"/>
    <mergeCell ref="A54:A56"/>
    <mergeCell ref="B54:B56"/>
    <mergeCell ref="C54:M54"/>
    <mergeCell ref="N54:O54"/>
    <mergeCell ref="C55:G55"/>
    <mergeCell ref="H55:H56"/>
    <mergeCell ref="I55:K55"/>
    <mergeCell ref="A37:O38"/>
    <mergeCell ref="A39:A41"/>
    <mergeCell ref="B39:B41"/>
    <mergeCell ref="C39:M39"/>
    <mergeCell ref="N39:O39"/>
    <mergeCell ref="C40:G40"/>
    <mergeCell ref="H40:H41"/>
    <mergeCell ref="I40:K40"/>
    <mergeCell ref="A20:O21"/>
    <mergeCell ref="A22:A24"/>
    <mergeCell ref="B22:B24"/>
    <mergeCell ref="C22:M22"/>
    <mergeCell ref="N22:O22"/>
    <mergeCell ref="C23:G23"/>
    <mergeCell ref="H23:H24"/>
    <mergeCell ref="I23:K23"/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4A43-92BF-4752-8388-C46DBD57DCCB}">
  <dimension ref="A1:P12"/>
  <sheetViews>
    <sheetView workbookViewId="0">
      <selection activeCell="C12" sqref="C12"/>
    </sheetView>
  </sheetViews>
  <sheetFormatPr defaultRowHeight="14.4"/>
  <cols>
    <col min="1" max="1" width="3.44140625" bestFit="1" customWidth="1"/>
    <col min="2" max="2" width="14" bestFit="1" customWidth="1"/>
    <col min="3" max="3" width="26.6640625" bestFit="1" customWidth="1"/>
    <col min="4" max="4" width="32.5546875" bestFit="1" customWidth="1"/>
    <col min="5" max="5" width="4.109375" bestFit="1" customWidth="1"/>
    <col min="6" max="6" width="4" bestFit="1" customWidth="1"/>
    <col min="7" max="7" width="4.88671875" bestFit="1" customWidth="1"/>
    <col min="8" max="8" width="4.109375" bestFit="1" customWidth="1"/>
    <col min="9" max="9" width="3.77734375" bestFit="1" customWidth="1"/>
    <col min="10" max="10" width="4.21875" bestFit="1" customWidth="1"/>
    <col min="11" max="11" width="4" bestFit="1" customWidth="1"/>
    <col min="12" max="12" width="5" customWidth="1"/>
    <col min="13" max="13" width="4.21875" bestFit="1" customWidth="1"/>
    <col min="14" max="15" width="4" bestFit="1" customWidth="1"/>
    <col min="16" max="16" width="4.109375" bestFit="1" customWidth="1"/>
  </cols>
  <sheetData>
    <row r="1" spans="1:16" ht="42" customHeight="1">
      <c r="A1" s="37" t="s">
        <v>3</v>
      </c>
      <c r="B1" s="37" t="s">
        <v>4</v>
      </c>
      <c r="C1" s="37" t="s">
        <v>5</v>
      </c>
      <c r="D1" s="37" t="s">
        <v>6</v>
      </c>
      <c r="E1" s="34" t="s">
        <v>7</v>
      </c>
      <c r="F1" s="35"/>
      <c r="G1" s="35"/>
      <c r="H1" s="35"/>
      <c r="I1" s="36"/>
      <c r="J1" s="34" t="s">
        <v>8</v>
      </c>
      <c r="K1" s="35"/>
      <c r="L1" s="36"/>
      <c r="M1" s="34" t="s">
        <v>9</v>
      </c>
      <c r="N1" s="35"/>
      <c r="O1" s="35"/>
      <c r="P1" s="36"/>
    </row>
    <row r="2" spans="1:16">
      <c r="A2" s="38"/>
      <c r="B2" s="38"/>
      <c r="C2" s="38"/>
      <c r="D2" s="38"/>
      <c r="E2" s="27" t="s">
        <v>10</v>
      </c>
      <c r="F2" s="27" t="s">
        <v>11</v>
      </c>
      <c r="G2" s="27" t="s">
        <v>12</v>
      </c>
      <c r="H2" s="27" t="s">
        <v>13</v>
      </c>
      <c r="I2" s="27" t="s">
        <v>0</v>
      </c>
      <c r="J2" s="27" t="s">
        <v>14</v>
      </c>
      <c r="K2" s="27" t="s">
        <v>11</v>
      </c>
      <c r="L2" s="27" t="s">
        <v>0</v>
      </c>
      <c r="M2" s="27" t="s">
        <v>14</v>
      </c>
      <c r="N2" s="27" t="s">
        <v>11</v>
      </c>
      <c r="O2" s="27" t="s">
        <v>15</v>
      </c>
      <c r="P2" s="27" t="s">
        <v>13</v>
      </c>
    </row>
    <row r="3" spans="1:16" ht="18">
      <c r="A3" s="28">
        <v>1</v>
      </c>
      <c r="B3" s="29" t="s">
        <v>16</v>
      </c>
      <c r="C3" s="30">
        <f>QSTBKT!M19</f>
        <v>0</v>
      </c>
      <c r="D3" s="7">
        <v>8</v>
      </c>
      <c r="E3" s="30">
        <f t="shared" ref="E3:E12" si="0">ROUND(I3*0.5,0)</f>
        <v>0</v>
      </c>
      <c r="F3" s="30">
        <f t="shared" ref="F3:F12" si="1">ROUND(I3*0.25,0)</f>
        <v>0</v>
      </c>
      <c r="G3" s="30">
        <f t="shared" ref="G3:G12" si="2">ROUND(I3*0.15,0)</f>
        <v>0</v>
      </c>
      <c r="H3" s="30">
        <f t="shared" ref="H3:H12" si="3">I3-E3-F3-G3</f>
        <v>0</v>
      </c>
      <c r="I3" s="30">
        <f t="shared" ref="I3:I12" si="4">ROUND(C3*D3/100,0)</f>
        <v>0</v>
      </c>
      <c r="J3" s="31"/>
      <c r="K3" s="31"/>
      <c r="L3" s="32">
        <f>J3+K3</f>
        <v>0</v>
      </c>
      <c r="M3" s="32">
        <f>E3-J3</f>
        <v>0</v>
      </c>
      <c r="N3" s="32">
        <f t="shared" ref="N3:P12" si="5">F3</f>
        <v>0</v>
      </c>
      <c r="O3" s="32">
        <f t="shared" si="5"/>
        <v>0</v>
      </c>
      <c r="P3" s="32">
        <f t="shared" si="5"/>
        <v>0</v>
      </c>
    </row>
    <row r="4" spans="1:16" ht="18">
      <c r="A4" s="28">
        <v>2</v>
      </c>
      <c r="B4" s="29" t="s">
        <v>17</v>
      </c>
      <c r="C4" s="30">
        <f>QSTBKT!L19</f>
        <v>0</v>
      </c>
      <c r="D4" s="7">
        <v>10</v>
      </c>
      <c r="E4" s="30">
        <f t="shared" si="0"/>
        <v>0</v>
      </c>
      <c r="F4" s="30">
        <f t="shared" si="1"/>
        <v>0</v>
      </c>
      <c r="G4" s="30">
        <f t="shared" si="2"/>
        <v>0</v>
      </c>
      <c r="H4" s="30">
        <f t="shared" si="3"/>
        <v>0</v>
      </c>
      <c r="I4" s="30">
        <f t="shared" si="4"/>
        <v>0</v>
      </c>
      <c r="J4" s="33"/>
      <c r="K4" s="33"/>
      <c r="L4" s="32">
        <f t="shared" ref="L4:L12" si="6">J4+K4</f>
        <v>0</v>
      </c>
      <c r="M4" s="32">
        <f t="shared" ref="M4:M12" si="7">E4-J4</f>
        <v>0</v>
      </c>
      <c r="N4" s="32">
        <f t="shared" si="5"/>
        <v>0</v>
      </c>
      <c r="O4" s="32">
        <f t="shared" si="5"/>
        <v>0</v>
      </c>
      <c r="P4" s="32">
        <f t="shared" si="5"/>
        <v>0</v>
      </c>
    </row>
    <row r="5" spans="1:16" ht="18">
      <c r="A5" s="28">
        <v>3</v>
      </c>
      <c r="B5" s="29" t="s">
        <v>2</v>
      </c>
      <c r="C5" s="30">
        <f>QSTBKT!C19</f>
        <v>0</v>
      </c>
      <c r="D5" s="7">
        <v>4</v>
      </c>
      <c r="E5" s="30">
        <f t="shared" si="0"/>
        <v>0</v>
      </c>
      <c r="F5" s="30">
        <f t="shared" si="1"/>
        <v>0</v>
      </c>
      <c r="G5" s="30">
        <f t="shared" si="2"/>
        <v>0</v>
      </c>
      <c r="H5" s="30">
        <f t="shared" si="3"/>
        <v>0</v>
      </c>
      <c r="I5" s="30">
        <f t="shared" si="4"/>
        <v>0</v>
      </c>
      <c r="J5" s="31"/>
      <c r="K5" s="31"/>
      <c r="L5" s="32">
        <f t="shared" si="6"/>
        <v>0</v>
      </c>
      <c r="M5" s="32">
        <f t="shared" si="7"/>
        <v>0</v>
      </c>
      <c r="N5" s="32">
        <f t="shared" si="5"/>
        <v>0</v>
      </c>
      <c r="O5" s="32">
        <f t="shared" si="5"/>
        <v>0</v>
      </c>
      <c r="P5" s="32">
        <f t="shared" si="5"/>
        <v>0</v>
      </c>
    </row>
    <row r="6" spans="1:16" ht="18">
      <c r="A6" s="28">
        <v>4</v>
      </c>
      <c r="B6" s="29" t="s">
        <v>18</v>
      </c>
      <c r="C6" s="30">
        <f>QSTBKT!D19</f>
        <v>0</v>
      </c>
      <c r="D6" s="7">
        <v>4</v>
      </c>
      <c r="E6" s="30">
        <f t="shared" si="0"/>
        <v>0</v>
      </c>
      <c r="F6" s="30">
        <f t="shared" si="1"/>
        <v>0</v>
      </c>
      <c r="G6" s="30">
        <f t="shared" si="2"/>
        <v>0</v>
      </c>
      <c r="H6" s="30">
        <f t="shared" si="3"/>
        <v>0</v>
      </c>
      <c r="I6" s="30">
        <f t="shared" si="4"/>
        <v>0</v>
      </c>
      <c r="J6" s="31"/>
      <c r="K6" s="31"/>
      <c r="L6" s="32">
        <f t="shared" si="6"/>
        <v>0</v>
      </c>
      <c r="M6" s="32">
        <f t="shared" si="7"/>
        <v>0</v>
      </c>
      <c r="N6" s="32">
        <f t="shared" si="5"/>
        <v>0</v>
      </c>
      <c r="O6" s="32">
        <f t="shared" si="5"/>
        <v>0</v>
      </c>
      <c r="P6" s="32">
        <f t="shared" si="5"/>
        <v>0</v>
      </c>
    </row>
    <row r="7" spans="1:16" ht="18">
      <c r="A7" s="28">
        <v>5</v>
      </c>
      <c r="B7" s="29" t="s">
        <v>19</v>
      </c>
      <c r="C7" s="30">
        <f>QSTBKT!E19</f>
        <v>0</v>
      </c>
      <c r="D7" s="7">
        <v>4</v>
      </c>
      <c r="E7" s="30">
        <f t="shared" si="0"/>
        <v>0</v>
      </c>
      <c r="F7" s="30">
        <f t="shared" si="1"/>
        <v>0</v>
      </c>
      <c r="G7" s="30">
        <f t="shared" si="2"/>
        <v>0</v>
      </c>
      <c r="H7" s="30">
        <f t="shared" si="3"/>
        <v>0</v>
      </c>
      <c r="I7" s="30">
        <f t="shared" si="4"/>
        <v>0</v>
      </c>
      <c r="J7" s="31"/>
      <c r="K7" s="31"/>
      <c r="L7" s="32">
        <f t="shared" si="6"/>
        <v>0</v>
      </c>
      <c r="M7" s="32">
        <f t="shared" si="7"/>
        <v>0</v>
      </c>
      <c r="N7" s="32">
        <f t="shared" si="5"/>
        <v>0</v>
      </c>
      <c r="O7" s="32">
        <f t="shared" si="5"/>
        <v>0</v>
      </c>
      <c r="P7" s="32">
        <f t="shared" si="5"/>
        <v>0</v>
      </c>
    </row>
    <row r="8" spans="1:16" ht="18">
      <c r="A8" s="28">
        <v>6</v>
      </c>
      <c r="B8" s="29" t="s">
        <v>20</v>
      </c>
      <c r="C8" s="30">
        <f>QSTBKT!F19</f>
        <v>0</v>
      </c>
      <c r="D8" s="7">
        <v>4</v>
      </c>
      <c r="E8" s="30">
        <f t="shared" si="0"/>
        <v>0</v>
      </c>
      <c r="F8" s="30">
        <f t="shared" si="1"/>
        <v>0</v>
      </c>
      <c r="G8" s="30">
        <f t="shared" si="2"/>
        <v>0</v>
      </c>
      <c r="H8" s="30">
        <f t="shared" si="3"/>
        <v>0</v>
      </c>
      <c r="I8" s="30">
        <f t="shared" si="4"/>
        <v>0</v>
      </c>
      <c r="J8" s="31"/>
      <c r="K8" s="31"/>
      <c r="L8" s="32">
        <f t="shared" si="6"/>
        <v>0</v>
      </c>
      <c r="M8" s="32">
        <f t="shared" si="7"/>
        <v>0</v>
      </c>
      <c r="N8" s="32">
        <f t="shared" si="5"/>
        <v>0</v>
      </c>
      <c r="O8" s="32">
        <f t="shared" si="5"/>
        <v>0</v>
      </c>
      <c r="P8" s="32">
        <f t="shared" si="5"/>
        <v>0</v>
      </c>
    </row>
    <row r="9" spans="1:16" ht="18">
      <c r="A9" s="28">
        <v>7</v>
      </c>
      <c r="B9" s="29" t="s">
        <v>1</v>
      </c>
      <c r="C9" s="30">
        <f>QSTBKT!G19</f>
        <v>0</v>
      </c>
      <c r="D9" s="7">
        <v>4</v>
      </c>
      <c r="E9" s="30">
        <f t="shared" si="0"/>
        <v>0</v>
      </c>
      <c r="F9" s="30">
        <f t="shared" si="1"/>
        <v>0</v>
      </c>
      <c r="G9" s="30">
        <f t="shared" si="2"/>
        <v>0</v>
      </c>
      <c r="H9" s="30">
        <f t="shared" si="3"/>
        <v>0</v>
      </c>
      <c r="I9" s="30">
        <f t="shared" si="4"/>
        <v>0</v>
      </c>
      <c r="J9" s="33"/>
      <c r="K9" s="33"/>
      <c r="L9" s="32">
        <f t="shared" si="6"/>
        <v>0</v>
      </c>
      <c r="M9" s="32">
        <f t="shared" si="7"/>
        <v>0</v>
      </c>
      <c r="N9" s="32">
        <f t="shared" si="5"/>
        <v>0</v>
      </c>
      <c r="O9" s="32">
        <f t="shared" si="5"/>
        <v>0</v>
      </c>
      <c r="P9" s="32">
        <f t="shared" si="5"/>
        <v>0</v>
      </c>
    </row>
    <row r="10" spans="1:16" ht="18">
      <c r="A10" s="28">
        <v>8</v>
      </c>
      <c r="B10" s="29" t="s">
        <v>21</v>
      </c>
      <c r="C10" s="30">
        <f>QSTBKT!K19</f>
        <v>0</v>
      </c>
      <c r="D10" s="7">
        <v>10</v>
      </c>
      <c r="E10" s="30">
        <f t="shared" si="0"/>
        <v>0</v>
      </c>
      <c r="F10" s="30">
        <f t="shared" si="1"/>
        <v>0</v>
      </c>
      <c r="G10" s="30">
        <f t="shared" si="2"/>
        <v>0</v>
      </c>
      <c r="H10" s="30">
        <f t="shared" si="3"/>
        <v>0</v>
      </c>
      <c r="I10" s="30">
        <f t="shared" si="4"/>
        <v>0</v>
      </c>
      <c r="J10" s="31"/>
      <c r="K10" s="31"/>
      <c r="L10" s="32">
        <f t="shared" si="6"/>
        <v>0</v>
      </c>
      <c r="M10" s="32">
        <f t="shared" si="7"/>
        <v>0</v>
      </c>
      <c r="N10" s="32">
        <f t="shared" si="5"/>
        <v>0</v>
      </c>
      <c r="O10" s="32">
        <f t="shared" si="5"/>
        <v>0</v>
      </c>
      <c r="P10" s="32">
        <f t="shared" si="5"/>
        <v>0</v>
      </c>
    </row>
    <row r="11" spans="1:16" ht="18">
      <c r="A11" s="28">
        <v>9</v>
      </c>
      <c r="B11" s="29" t="s">
        <v>22</v>
      </c>
      <c r="C11" s="30">
        <f>QSTBKT!J19</f>
        <v>0</v>
      </c>
      <c r="D11" s="7">
        <v>10</v>
      </c>
      <c r="E11" s="30">
        <f t="shared" si="0"/>
        <v>0</v>
      </c>
      <c r="F11" s="30">
        <f t="shared" si="1"/>
        <v>0</v>
      </c>
      <c r="G11" s="30">
        <f t="shared" si="2"/>
        <v>0</v>
      </c>
      <c r="H11" s="30">
        <f t="shared" si="3"/>
        <v>0</v>
      </c>
      <c r="I11" s="30">
        <f t="shared" si="4"/>
        <v>0</v>
      </c>
      <c r="J11" s="31"/>
      <c r="K11" s="31"/>
      <c r="L11" s="32">
        <f t="shared" si="6"/>
        <v>0</v>
      </c>
      <c r="M11" s="32">
        <f t="shared" si="7"/>
        <v>0</v>
      </c>
      <c r="N11" s="32">
        <f t="shared" si="5"/>
        <v>0</v>
      </c>
      <c r="O11" s="32">
        <f t="shared" si="5"/>
        <v>0</v>
      </c>
      <c r="P11" s="32">
        <f t="shared" si="5"/>
        <v>0</v>
      </c>
    </row>
    <row r="12" spans="1:16" ht="18">
      <c r="A12" s="28">
        <v>10</v>
      </c>
      <c r="B12" s="29" t="s">
        <v>23</v>
      </c>
      <c r="C12" s="30">
        <f>QSTBKT!I19</f>
        <v>0</v>
      </c>
      <c r="D12" s="7">
        <v>10</v>
      </c>
      <c r="E12" s="30">
        <f t="shared" si="0"/>
        <v>0</v>
      </c>
      <c r="F12" s="30">
        <f t="shared" si="1"/>
        <v>0</v>
      </c>
      <c r="G12" s="30">
        <f t="shared" si="2"/>
        <v>0</v>
      </c>
      <c r="H12" s="30">
        <f t="shared" si="3"/>
        <v>0</v>
      </c>
      <c r="I12" s="30">
        <f t="shared" si="4"/>
        <v>0</v>
      </c>
      <c r="J12" s="31"/>
      <c r="K12" s="31"/>
      <c r="L12" s="32">
        <f t="shared" si="6"/>
        <v>0</v>
      </c>
      <c r="M12" s="32">
        <f t="shared" si="7"/>
        <v>0</v>
      </c>
      <c r="N12" s="32">
        <f t="shared" si="5"/>
        <v>0</v>
      </c>
      <c r="O12" s="32">
        <f t="shared" si="5"/>
        <v>0</v>
      </c>
      <c r="P12" s="32">
        <f t="shared" si="5"/>
        <v>0</v>
      </c>
    </row>
  </sheetData>
  <mergeCells count="7">
    <mergeCell ref="M1:P1"/>
    <mergeCell ref="A1:A2"/>
    <mergeCell ref="B1:B2"/>
    <mergeCell ref="C1:C2"/>
    <mergeCell ref="D1:D2"/>
    <mergeCell ref="E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QSTBKT</vt:lpstr>
      <vt:lpstr>TiLeVuKhiHuHong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Thai</dc:creator>
  <cp:lastModifiedBy>Nguyen Thi Thanh Huyen</cp:lastModifiedBy>
  <dcterms:created xsi:type="dcterms:W3CDTF">2015-06-05T18:17:20Z</dcterms:created>
  <dcterms:modified xsi:type="dcterms:W3CDTF">2026-03-09T02:46:45Z</dcterms:modified>
</cp:coreProperties>
</file>