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D:\codenew\Resources\Sheet\"/>
    </mc:Choice>
  </mc:AlternateContent>
  <xr:revisionPtr revIDLastSave="0" documentId="13_ncr:1_{829FF4F9-DD01-4973-BDC0-182E26DBF110}" xr6:coauthVersionLast="47" xr6:coauthVersionMax="47" xr10:uidLastSave="{00000000-0000-0000-0000-000000000000}"/>
  <bookViews>
    <workbookView xWindow="-120" yWindow="-120" windowWidth="29040" windowHeight="17640" tabRatio="579" activeTab="1" xr2:uid="{00000000-000D-0000-FFFF-FFFF00000000}"/>
  </bookViews>
  <sheets>
    <sheet name="Sheet3" sheetId="6" r:id="rId1"/>
    <sheet name="Sheet4" sheetId="7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7" i="7" l="1"/>
  <c r="D7" i="7"/>
  <c r="C7" i="7"/>
  <c r="E6" i="7"/>
  <c r="E5" i="7"/>
  <c r="E4" i="7"/>
  <c r="E3" i="7"/>
  <c r="E2" i="7"/>
  <c r="I13" i="6"/>
  <c r="F13" i="6"/>
  <c r="E13" i="6"/>
  <c r="I12" i="6"/>
  <c r="F12" i="6"/>
  <c r="E12" i="6"/>
  <c r="I11" i="6"/>
  <c r="F11" i="6"/>
  <c r="E11" i="6"/>
  <c r="I10" i="6"/>
  <c r="F10" i="6"/>
  <c r="E10" i="6"/>
  <c r="I9" i="6"/>
  <c r="F9" i="6"/>
  <c r="E9" i="6"/>
  <c r="I8" i="6"/>
  <c r="F8" i="6"/>
  <c r="E8" i="6"/>
  <c r="I7" i="6"/>
  <c r="F7" i="6"/>
  <c r="E7" i="6"/>
  <c r="I6" i="6"/>
  <c r="F6" i="6"/>
  <c r="E6" i="6"/>
  <c r="I5" i="6"/>
  <c r="F5" i="6"/>
  <c r="E5" i="6"/>
  <c r="I4" i="6"/>
  <c r="F4" i="6"/>
  <c r="E4" i="6"/>
  <c r="I3" i="6"/>
  <c r="F3" i="6"/>
  <c r="E3" i="6"/>
</calcChain>
</file>

<file path=xl/sharedStrings.xml><?xml version="1.0" encoding="utf-8"?>
<sst xmlns="http://schemas.openxmlformats.org/spreadsheetml/2006/main" count="49" uniqueCount="31">
  <si>
    <t>+</t>
  </si>
  <si>
    <t>Loại TBKT</t>
  </si>
  <si>
    <t>ĐVT</t>
  </si>
  <si>
    <t>Nhu cầu</t>
  </si>
  <si>
    <t>Hiện có</t>
  </si>
  <si>
    <t>PC TQĐ</t>
  </si>
  <si>
    <t>Bổ sung</t>
  </si>
  <si>
    <t>Kbđ</t>
  </si>
  <si>
    <t>Kt</t>
  </si>
  <si>
    <t>Số tốt</t>
  </si>
  <si>
    <t>SN</t>
  </si>
  <si>
    <t>Khẩu</t>
  </si>
  <si>
    <t>TL</t>
  </si>
  <si>
    <t>Trl</t>
  </si>
  <si>
    <t>DL</t>
  </si>
  <si>
    <t>Lựu đạn</t>
  </si>
  <si>
    <t>Quả</t>
  </si>
  <si>
    <t>SMPK 12,7mm</t>
  </si>
  <si>
    <t>Cối 100mm/e</t>
  </si>
  <si>
    <t>Cối 82mm/d</t>
  </si>
  <si>
    <t>Cối 60mm</t>
  </si>
  <si>
    <t>Súng SPG-9</t>
  </si>
  <si>
    <t>Súng B41</t>
  </si>
  <si>
    <t>Loại VC</t>
  </si>
  <si>
    <t>Đạn, lựu đạn</t>
  </si>
  <si>
    <t>Tấn</t>
  </si>
  <si>
    <t>Quân nhu</t>
  </si>
  <si>
    <t>Quân y</t>
  </si>
  <si>
    <t>Doanh trại</t>
  </si>
  <si>
    <t>Vật tư kỹ thuật</t>
  </si>
  <si>
    <t>Cộng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</si>
</sst>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3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 wrapText="1"/>
    </xf>
    <xf numFmtId="0" fontId="0" fillId="0" borderId="1" xfId="0" applyBorder="1"/>
    <xf numFmtId="0" fontId="0" fillId="5" borderId="1" xfId="0" applyFill="1" applyBorder="1"/>
    <xf numFmtId="4" fontId="0" fillId="5" borderId="1" xfId="0" applyNumberFormat="1" applyFill="1" applyBorder="1"/>
    <xf numFmtId="2" fontId="0" fillId="5" borderId="1" xfId="0" applyNumberFormat="1" applyFill="1" applyBorder="1"/>
    <xf numFmtId="0" fontId="1" fillId="5" borderId="1" xfId="0" applyFont="1" applyFill="1" applyBorder="1"/>
  </cellXfs>
  <cellStyles count="1">
    <cellStyle name="Bình thường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286D5B-F9AF-4C64-AD5C-2AA2523B264F}">
  <dimension ref="A1:I13"/>
  <sheetViews>
    <sheetView workbookViewId="0">
      <selection activeCell="D10" sqref="D10"/>
    </sheetView>
  </sheetViews>
  <sheetFormatPr defaultRowHeight="15" x14ac:dyDescent="0.25"/>
  <cols>
    <col min="1" max="1" width="14.85546875" bestFit="1" customWidth="1"/>
  </cols>
  <sheetData>
    <row r="1" spans="1:9" x14ac:dyDescent="0.25">
      <c r="A1" s="1" t="s">
        <v>1</v>
      </c>
      <c r="B1" s="1" t="s">
        <v>2</v>
      </c>
      <c r="C1" s="1" t="s">
        <v>3</v>
      </c>
      <c r="D1" s="2" t="s">
        <v>4</v>
      </c>
      <c r="E1" s="2"/>
      <c r="F1" s="2"/>
      <c r="G1" s="2"/>
      <c r="H1" s="2" t="s">
        <v>5</v>
      </c>
      <c r="I1" s="2" t="s">
        <v>6</v>
      </c>
    </row>
    <row r="2" spans="1:9" x14ac:dyDescent="0.25">
      <c r="A2" s="1"/>
      <c r="B2" s="1"/>
      <c r="C2" s="1"/>
      <c r="D2" s="3" t="s">
        <v>0</v>
      </c>
      <c r="E2" s="3" t="s">
        <v>7</v>
      </c>
      <c r="F2" s="3" t="s">
        <v>8</v>
      </c>
      <c r="G2" s="3" t="s">
        <v>9</v>
      </c>
      <c r="H2" s="2"/>
      <c r="I2" s="2"/>
    </row>
    <row r="3" spans="1:9" x14ac:dyDescent="0.25">
      <c r="A3" s="4" t="s">
        <v>10</v>
      </c>
      <c r="B3" s="4" t="s">
        <v>11</v>
      </c>
      <c r="C3" s="4">
        <v>1</v>
      </c>
      <c r="D3" s="5">
        <v>35</v>
      </c>
      <c r="E3" s="4">
        <f>D3/C3</f>
        <v>35</v>
      </c>
      <c r="F3" s="4">
        <f>G3/D3</f>
        <v>0.97142857142857142</v>
      </c>
      <c r="G3" s="5">
        <v>34</v>
      </c>
      <c r="H3" s="5"/>
      <c r="I3" s="4">
        <f>C3-D3</f>
        <v>-34</v>
      </c>
    </row>
    <row r="4" spans="1:9" x14ac:dyDescent="0.25">
      <c r="A4" s="4" t="s">
        <v>12</v>
      </c>
      <c r="B4" s="4" t="s">
        <v>11</v>
      </c>
      <c r="C4" s="4">
        <v>1</v>
      </c>
      <c r="D4" s="5">
        <v>439</v>
      </c>
      <c r="E4" s="4">
        <f>D4/C4</f>
        <v>439</v>
      </c>
      <c r="F4" s="4">
        <f t="shared" ref="F4:F13" si="0">G4/D4</f>
        <v>0.99772209567198178</v>
      </c>
      <c r="G4" s="5">
        <v>438</v>
      </c>
      <c r="H4" s="5"/>
      <c r="I4" s="4">
        <f>C4-D4</f>
        <v>-438</v>
      </c>
    </row>
    <row r="5" spans="1:9" x14ac:dyDescent="0.25">
      <c r="A5" s="4" t="s">
        <v>13</v>
      </c>
      <c r="B5" s="4" t="s">
        <v>11</v>
      </c>
      <c r="C5" s="4">
        <v>1</v>
      </c>
      <c r="D5" s="5">
        <v>27</v>
      </c>
      <c r="E5" s="4">
        <f>D5/C5</f>
        <v>27</v>
      </c>
      <c r="F5" s="4">
        <f t="shared" si="0"/>
        <v>1</v>
      </c>
      <c r="G5" s="5">
        <v>27</v>
      </c>
      <c r="H5" s="5"/>
      <c r="I5" s="4">
        <f t="shared" ref="I5:I13" si="1">C5-D5</f>
        <v>-26</v>
      </c>
    </row>
    <row r="6" spans="1:9" x14ac:dyDescent="0.25">
      <c r="A6" s="4" t="s">
        <v>14</v>
      </c>
      <c r="B6" s="4" t="s">
        <v>11</v>
      </c>
      <c r="C6" s="4">
        <v>1</v>
      </c>
      <c r="D6" s="5">
        <v>6</v>
      </c>
      <c r="E6" s="4">
        <f>D6/C6</f>
        <v>6</v>
      </c>
      <c r="F6" s="4">
        <f t="shared" si="0"/>
        <v>0.83333333333333337</v>
      </c>
      <c r="G6" s="5">
        <v>5</v>
      </c>
      <c r="H6" s="5"/>
      <c r="I6" s="4">
        <f t="shared" si="1"/>
        <v>-5</v>
      </c>
    </row>
    <row r="7" spans="1:9" x14ac:dyDescent="0.25">
      <c r="A7" s="4" t="s">
        <v>15</v>
      </c>
      <c r="B7" s="4" t="s">
        <v>16</v>
      </c>
      <c r="C7" s="4">
        <v>1</v>
      </c>
      <c r="D7" s="5">
        <v>2073</v>
      </c>
      <c r="E7" s="4">
        <f>D7/C7</f>
        <v>2073</v>
      </c>
      <c r="F7" s="4">
        <f t="shared" si="0"/>
        <v>1</v>
      </c>
      <c r="G7" s="5">
        <v>2073</v>
      </c>
      <c r="H7" s="5"/>
      <c r="I7" s="4">
        <f t="shared" si="1"/>
        <v>-2072</v>
      </c>
    </row>
    <row r="8" spans="1:9" x14ac:dyDescent="0.25">
      <c r="A8" s="6" t="s">
        <v>17</v>
      </c>
      <c r="B8" s="4" t="s">
        <v>11</v>
      </c>
      <c r="C8" s="4">
        <v>1</v>
      </c>
      <c r="D8" s="5">
        <v>2073</v>
      </c>
      <c r="E8" s="4">
        <f t="shared" ref="E8:E13" si="2">D8/C8</f>
        <v>2073</v>
      </c>
      <c r="F8" s="4">
        <f t="shared" si="0"/>
        <v>1</v>
      </c>
      <c r="G8" s="5">
        <v>2073</v>
      </c>
      <c r="H8" s="7"/>
      <c r="I8" s="4">
        <f t="shared" si="1"/>
        <v>-2072</v>
      </c>
    </row>
    <row r="9" spans="1:9" x14ac:dyDescent="0.25">
      <c r="A9" s="4" t="s">
        <v>18</v>
      </c>
      <c r="B9" s="4" t="s">
        <v>11</v>
      </c>
      <c r="C9" s="4">
        <v>1</v>
      </c>
      <c r="D9" s="5">
        <v>2073</v>
      </c>
      <c r="E9" s="4">
        <f t="shared" si="2"/>
        <v>2073</v>
      </c>
      <c r="F9" s="4">
        <f t="shared" si="0"/>
        <v>1</v>
      </c>
      <c r="G9" s="5">
        <v>2073</v>
      </c>
      <c r="H9" s="7"/>
      <c r="I9" s="4">
        <f t="shared" si="1"/>
        <v>-2072</v>
      </c>
    </row>
    <row r="10" spans="1:9" x14ac:dyDescent="0.25">
      <c r="A10" s="4" t="s">
        <v>19</v>
      </c>
      <c r="B10" s="4" t="s">
        <v>11</v>
      </c>
      <c r="C10" s="4">
        <v>1</v>
      </c>
      <c r="D10" s="5">
        <v>2073</v>
      </c>
      <c r="E10" s="4">
        <f t="shared" si="2"/>
        <v>2073</v>
      </c>
      <c r="F10" s="4">
        <f t="shared" si="0"/>
        <v>1</v>
      </c>
      <c r="G10" s="5">
        <v>2073</v>
      </c>
      <c r="H10" s="7"/>
      <c r="I10" s="4">
        <f t="shared" si="1"/>
        <v>-2072</v>
      </c>
    </row>
    <row r="11" spans="1:9" x14ac:dyDescent="0.25">
      <c r="A11" s="4" t="s">
        <v>20</v>
      </c>
      <c r="B11" s="4" t="s">
        <v>11</v>
      </c>
      <c r="C11" s="4">
        <v>1</v>
      </c>
      <c r="D11" s="5">
        <v>2073</v>
      </c>
      <c r="E11" s="4">
        <f t="shared" si="2"/>
        <v>2073</v>
      </c>
      <c r="F11" s="4">
        <f t="shared" si="0"/>
        <v>1</v>
      </c>
      <c r="G11" s="5">
        <v>2073</v>
      </c>
      <c r="H11" s="7"/>
      <c r="I11" s="4">
        <f t="shared" si="1"/>
        <v>-2072</v>
      </c>
    </row>
    <row r="12" spans="1:9" x14ac:dyDescent="0.25">
      <c r="A12" s="4" t="s">
        <v>21</v>
      </c>
      <c r="B12" s="4" t="s">
        <v>11</v>
      </c>
      <c r="C12" s="4">
        <v>1</v>
      </c>
      <c r="D12" s="5">
        <v>2073</v>
      </c>
      <c r="E12" s="4">
        <f t="shared" si="2"/>
        <v>2073</v>
      </c>
      <c r="F12" s="4">
        <f t="shared" si="0"/>
        <v>1</v>
      </c>
      <c r="G12" s="5">
        <v>2073</v>
      </c>
      <c r="H12" s="7"/>
      <c r="I12" s="4">
        <f t="shared" si="1"/>
        <v>-2072</v>
      </c>
    </row>
    <row r="13" spans="1:9" x14ac:dyDescent="0.25">
      <c r="A13" s="4" t="s">
        <v>22</v>
      </c>
      <c r="B13" s="4" t="s">
        <v>11</v>
      </c>
      <c r="C13" s="4">
        <v>1</v>
      </c>
      <c r="D13" s="5">
        <v>2073</v>
      </c>
      <c r="E13" s="4">
        <f t="shared" si="2"/>
        <v>2073</v>
      </c>
      <c r="F13" s="4">
        <f t="shared" si="0"/>
        <v>1</v>
      </c>
      <c r="G13" s="5">
        <v>2073</v>
      </c>
      <c r="H13" s="7"/>
      <c r="I13" s="4">
        <f t="shared" si="1"/>
        <v>-2072</v>
      </c>
    </row>
  </sheetData>
  <mergeCells count="6">
    <mergeCell ref="A1:A2"/>
    <mergeCell ref="B1:B2"/>
    <mergeCell ref="C1:C2"/>
    <mergeCell ref="D1:G1"/>
    <mergeCell ref="H1:H2"/>
    <mergeCell ref="I1:I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D5BE02-E377-4BF3-A935-562F78CBA964}">
  <dimension ref="A1:E7"/>
  <sheetViews>
    <sheetView tabSelected="1" workbookViewId="0">
      <selection activeCell="J20" sqref="J20"/>
    </sheetView>
  </sheetViews>
  <sheetFormatPr defaultRowHeight="15" x14ac:dyDescent="0.25"/>
  <sheetData>
    <row r="1" spans="1:5" x14ac:dyDescent="0.25">
      <c r="A1" s="8" t="s">
        <v>23</v>
      </c>
      <c r="B1" s="8" t="s">
        <v>2</v>
      </c>
      <c r="C1" s="8" t="s">
        <v>4</v>
      </c>
      <c r="D1" s="8" t="s">
        <v>3</v>
      </c>
      <c r="E1" s="8" t="s">
        <v>6</v>
      </c>
    </row>
    <row r="2" spans="1:5" x14ac:dyDescent="0.25">
      <c r="A2" s="8" t="s">
        <v>24</v>
      </c>
      <c r="B2" s="8" t="s">
        <v>25</v>
      </c>
      <c r="C2" s="9">
        <v>0</v>
      </c>
      <c r="D2" s="9">
        <v>0</v>
      </c>
      <c r="E2" s="9">
        <f>D2-C2</f>
        <v>0</v>
      </c>
    </row>
    <row r="3" spans="1:5" x14ac:dyDescent="0.25">
      <c r="A3" s="8" t="s">
        <v>26</v>
      </c>
      <c r="B3" s="8" t="s">
        <v>25</v>
      </c>
      <c r="C3" s="9">
        <v>0</v>
      </c>
      <c r="D3" s="9">
        <v>0</v>
      </c>
      <c r="E3" s="10">
        <f>D3-C3</f>
        <v>0</v>
      </c>
    </row>
    <row r="4" spans="1:5" x14ac:dyDescent="0.25">
      <c r="A4" s="8" t="s">
        <v>27</v>
      </c>
      <c r="B4" s="8" t="s">
        <v>25</v>
      </c>
      <c r="C4" s="9">
        <v>0</v>
      </c>
      <c r="D4" s="9">
        <v>0</v>
      </c>
      <c r="E4" s="10">
        <f t="shared" ref="E4:E6" si="0">D4-C4</f>
        <v>0</v>
      </c>
    </row>
    <row r="5" spans="1:5" x14ac:dyDescent="0.25">
      <c r="A5" s="8" t="s">
        <v>28</v>
      </c>
      <c r="B5" s="8" t="s">
        <v>25</v>
      </c>
      <c r="C5" s="9">
        <v>0</v>
      </c>
      <c r="D5" s="9">
        <v>0</v>
      </c>
      <c r="E5" s="10">
        <f t="shared" si="0"/>
        <v>0</v>
      </c>
    </row>
    <row r="6" spans="1:5" x14ac:dyDescent="0.25">
      <c r="A6" s="8" t="s">
        <v>29</v>
      </c>
      <c r="B6" s="8" t="s">
        <v>25</v>
      </c>
      <c r="C6" s="9">
        <v>0</v>
      </c>
      <c r="D6" s="9">
        <v>0</v>
      </c>
      <c r="E6" s="10">
        <f t="shared" si="0"/>
        <v>0</v>
      </c>
    </row>
    <row r="7" spans="1:5" x14ac:dyDescent="0.25">
      <c r="A7" s="11" t="s">
        <v>30</v>
      </c>
      <c r="B7" s="8" t="s">
        <v>25</v>
      </c>
      <c r="C7" s="10">
        <f>C3+C4+C5+C6+C2</f>
        <v>0</v>
      </c>
      <c r="D7" s="10">
        <f t="shared" ref="D7:E7" si="1">D3+D4+D5+D6+D2</f>
        <v>0</v>
      </c>
      <c r="E7" s="10">
        <f t="shared" si="1"/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Trang tính</vt:lpstr>
      </vt:variant>
      <vt:variant>
        <vt:i4>2</vt:i4>
      </vt:variant>
    </vt:vector>
  </HeadingPairs>
  <TitlesOfParts>
    <vt:vector size="2" baseType="lpstr">
      <vt:lpstr>Sheet3</vt:lpstr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Minh Thai</dc:creator>
  <cp:lastModifiedBy>Nguyen Thi Thanh Huyen</cp:lastModifiedBy>
  <dcterms:created xsi:type="dcterms:W3CDTF">2015-06-05T18:17:20Z</dcterms:created>
  <dcterms:modified xsi:type="dcterms:W3CDTF">2026-03-17T16:17:34Z</dcterms:modified>
</cp:coreProperties>
</file>